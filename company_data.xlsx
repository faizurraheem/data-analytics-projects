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aik\Desktop\pythn\"/>
    </mc:Choice>
  </mc:AlternateContent>
  <xr:revisionPtr revIDLastSave="0" documentId="13_ncr:1_{0C1C6D03-54D9-4420-B0B2-08B983D1B652}" xr6:coauthVersionLast="47" xr6:coauthVersionMax="47" xr10:uidLastSave="{00000000-0000-0000-0000-000000000000}"/>
  <bookViews>
    <workbookView xWindow="-108" yWindow="-108" windowWidth="23256" windowHeight="13176" activeTab="1" xr2:uid="{00000000-000D-0000-FFFF-FFFF00000000}"/>
  </bookViews>
  <sheets>
    <sheet name="KPI_report" sheetId="3" r:id="rId1"/>
    <sheet name="Dashboard" sheetId="13" r:id="rId2"/>
    <sheet name="Category bar" sheetId="4" r:id="rId3"/>
    <sheet name="Product" sheetId="5" r:id="rId4"/>
    <sheet name="Region" sheetId="6" r:id="rId5"/>
    <sheet name="Salesperson" sheetId="8" r:id="rId6"/>
    <sheet name="Month" sheetId="9" r:id="rId7"/>
    <sheet name="Customer" sheetId="10" r:id="rId8"/>
    <sheet name="Sheet1" sheetId="14" r:id="rId9"/>
    <sheet name="channel " sheetId="11" r:id="rId10"/>
    <sheet name="insight" sheetId="12" r:id="rId11"/>
    <sheet name="data" sheetId="1" r:id="rId12"/>
  </sheets>
  <definedNames>
    <definedName name="bar">'Category bar'!$A$4:$B$9</definedName>
    <definedName name="chan">'channel '!$E$3:$F$6</definedName>
    <definedName name="com">Salesperson!$A$3:$C$12</definedName>
    <definedName name="cust">Customer!$A$3:$B$9</definedName>
    <definedName name="lin">Month!$A$3:$B$16</definedName>
    <definedName name="NativeTimeline_Order_Date">#N/A</definedName>
    <definedName name="reg">Region!$A$3:$B$8</definedName>
    <definedName name="Slicer_Payment_Mode">#N/A</definedName>
    <definedName name="Slicer_Region">#N/A</definedName>
    <definedName name="Slicer_Sales_Channel">#N/A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B5" i="3"/>
  <c r="B4" i="3"/>
  <c r="B3" i="3"/>
  <c r="B8" i="3"/>
  <c r="B7" i="3"/>
  <c r="Q4" i="10"/>
  <c r="A7" i="11"/>
  <c r="K27" i="3"/>
  <c r="E27" i="3"/>
  <c r="B27" i="3"/>
  <c r="H27" i="3"/>
  <c r="B9" i="3" l="1"/>
  <c r="B6" i="3"/>
</calcChain>
</file>

<file path=xl/sharedStrings.xml><?xml version="1.0" encoding="utf-8"?>
<sst xmlns="http://schemas.openxmlformats.org/spreadsheetml/2006/main" count="3818" uniqueCount="743">
  <si>
    <t>Order_ID</t>
  </si>
  <si>
    <t>Order_Date</t>
  </si>
  <si>
    <t>Customer_ID</t>
  </si>
  <si>
    <t>Customer_Name</t>
  </si>
  <si>
    <t>Region</t>
  </si>
  <si>
    <t>Sales_Channel</t>
  </si>
  <si>
    <t>Category</t>
  </si>
  <si>
    <t>Product</t>
  </si>
  <si>
    <t>Quantity</t>
  </si>
  <si>
    <t>Unit_Price</t>
  </si>
  <si>
    <t>Discount</t>
  </si>
  <si>
    <t>Revenue</t>
  </si>
  <si>
    <t>Cost</t>
  </si>
  <si>
    <t>Profit</t>
  </si>
  <si>
    <t>Payment_Mode</t>
  </si>
  <si>
    <t>Customer_Rating</t>
  </si>
  <si>
    <t>ORD1001</t>
  </si>
  <si>
    <t>CUST1083</t>
  </si>
  <si>
    <t>Customer_87</t>
  </si>
  <si>
    <t>East</t>
  </si>
  <si>
    <t>Online</t>
  </si>
  <si>
    <t>Pooja</t>
  </si>
  <si>
    <t>Home &amp; Kitchen</t>
  </si>
  <si>
    <t>Mixer</t>
  </si>
  <si>
    <t>UPI</t>
  </si>
  <si>
    <t>ORD1002</t>
  </si>
  <si>
    <t>CUST1060</t>
  </si>
  <si>
    <t>Customer_21</t>
  </si>
  <si>
    <t>West</t>
  </si>
  <si>
    <t>Store</t>
  </si>
  <si>
    <t>Priya</t>
  </si>
  <si>
    <t>Air Fryer</t>
  </si>
  <si>
    <t>Card</t>
  </si>
  <si>
    <t>ORD1003</t>
  </si>
  <si>
    <t>CUST1080</t>
  </si>
  <si>
    <t>Customer_15</t>
  </si>
  <si>
    <t>Arjun</t>
  </si>
  <si>
    <t>Electronics</t>
  </si>
  <si>
    <t>Laptop</t>
  </si>
  <si>
    <t>ORD1004</t>
  </si>
  <si>
    <t>CUST1073</t>
  </si>
  <si>
    <t>Customer_39</t>
  </si>
  <si>
    <t>Amit</t>
  </si>
  <si>
    <t>Clothing</t>
  </si>
  <si>
    <t>Shoes</t>
  </si>
  <si>
    <t>Net Banking</t>
  </si>
  <si>
    <t>ORD1005</t>
  </si>
  <si>
    <t>CUST1047</t>
  </si>
  <si>
    <t>Customer_35</t>
  </si>
  <si>
    <t>South</t>
  </si>
  <si>
    <t>Neha</t>
  </si>
  <si>
    <t>Smartphone</t>
  </si>
  <si>
    <t>ORD1006</t>
  </si>
  <si>
    <t>CUST1044</t>
  </si>
  <si>
    <t>Customer_34</t>
  </si>
  <si>
    <t>Furniture</t>
  </si>
  <si>
    <t>Desk</t>
  </si>
  <si>
    <t>ORD1007</t>
  </si>
  <si>
    <t>CUST1026</t>
  </si>
  <si>
    <t>Customer_89</t>
  </si>
  <si>
    <t>North</t>
  </si>
  <si>
    <t>Table Lamp</t>
  </si>
  <si>
    <t>ORD1008</t>
  </si>
  <si>
    <t>CUST1088</t>
  </si>
  <si>
    <t>Customer_63</t>
  </si>
  <si>
    <t>T-Shirt</t>
  </si>
  <si>
    <t>ORD1009</t>
  </si>
  <si>
    <t>Customer_72</t>
  </si>
  <si>
    <t>Tablet</t>
  </si>
  <si>
    <t>ORD1010</t>
  </si>
  <si>
    <t>CUST1001</t>
  </si>
  <si>
    <t>Customer_5</t>
  </si>
  <si>
    <t>Bedsheet</t>
  </si>
  <si>
    <t>ORD1011</t>
  </si>
  <si>
    <t>CUST1052</t>
  </si>
  <si>
    <t>Customer_96</t>
  </si>
  <si>
    <t>Vikas</t>
  </si>
  <si>
    <t>Jacket</t>
  </si>
  <si>
    <t>Cash</t>
  </si>
  <si>
    <t>ORD1012</t>
  </si>
  <si>
    <t>CUST1066</t>
  </si>
  <si>
    <t>Customer_42</t>
  </si>
  <si>
    <t>ORD1013</t>
  </si>
  <si>
    <t>CUST1089</t>
  </si>
  <si>
    <t>Customer_62</t>
  </si>
  <si>
    <t>ORD1014</t>
  </si>
  <si>
    <t>CUST1097</t>
  </si>
  <si>
    <t>Customer_51</t>
  </si>
  <si>
    <t>ORD1015</t>
  </si>
  <si>
    <t>CUST1012</t>
  </si>
  <si>
    <t>ORD1016</t>
  </si>
  <si>
    <t>Customer_1</t>
  </si>
  <si>
    <t>ORD1017</t>
  </si>
  <si>
    <t>CUST1038</t>
  </si>
  <si>
    <t>Customer_24</t>
  </si>
  <si>
    <t>Cookware Set</t>
  </si>
  <si>
    <t>ORD1018</t>
  </si>
  <si>
    <t>CUST1003</t>
  </si>
  <si>
    <t>Unknown</t>
  </si>
  <si>
    <t>ORD1019</t>
  </si>
  <si>
    <t>CUST1039</t>
  </si>
  <si>
    <t>Customer_82</t>
  </si>
  <si>
    <t>Rahul</t>
  </si>
  <si>
    <t>ORD1020</t>
  </si>
  <si>
    <t>CUST1090</t>
  </si>
  <si>
    <t>Customer_60</t>
  </si>
  <si>
    <t>Bookshelf</t>
  </si>
  <si>
    <t>ORD1021</t>
  </si>
  <si>
    <t>Customer_3</t>
  </si>
  <si>
    <t>Sneha</t>
  </si>
  <si>
    <t>Headphones</t>
  </si>
  <si>
    <t>ORD1022</t>
  </si>
  <si>
    <t>CUST1099</t>
  </si>
  <si>
    <t>ORD1023</t>
  </si>
  <si>
    <t>CUST1014</t>
  </si>
  <si>
    <t>ORD1024</t>
  </si>
  <si>
    <t>CUST1030</t>
  </si>
  <si>
    <t>Customer_38</t>
  </si>
  <si>
    <t>ORD1025</t>
  </si>
  <si>
    <t>CUST1048</t>
  </si>
  <si>
    <t>Customer_19</t>
  </si>
  <si>
    <t>Office Chair</t>
  </si>
  <si>
    <t>ORD1026</t>
  </si>
  <si>
    <t>CUST1037</t>
  </si>
  <si>
    <t>ORD1027</t>
  </si>
  <si>
    <t>CUST1018</t>
  </si>
  <si>
    <t>Customer_25</t>
  </si>
  <si>
    <t>ORD1028</t>
  </si>
  <si>
    <t>CUST1027</t>
  </si>
  <si>
    <t>Customer_2</t>
  </si>
  <si>
    <t>ORD1029</t>
  </si>
  <si>
    <t>Customer_7</t>
  </si>
  <si>
    <t>ORD1030</t>
  </si>
  <si>
    <t>CUST1098</t>
  </si>
  <si>
    <t>Customer_66</t>
  </si>
  <si>
    <t>ORD1031</t>
  </si>
  <si>
    <t>ORD1032</t>
  </si>
  <si>
    <t>CUST1006</t>
  </si>
  <si>
    <t>ORD1033</t>
  </si>
  <si>
    <t>CUST1019</t>
  </si>
  <si>
    <t>Customer_92</t>
  </si>
  <si>
    <t>ORD1034</t>
  </si>
  <si>
    <t>ORD1035</t>
  </si>
  <si>
    <t>CUST1067</t>
  </si>
  <si>
    <t>Customer_76</t>
  </si>
  <si>
    <t>ORD1036</t>
  </si>
  <si>
    <t>CUST1016</t>
  </si>
  <si>
    <t>Customer_90</t>
  </si>
  <si>
    <t>ORD1037</t>
  </si>
  <si>
    <t>CUST1034</t>
  </si>
  <si>
    <t>Customer_52</t>
  </si>
  <si>
    <t>ORD1038</t>
  </si>
  <si>
    <t>CUST1091</t>
  </si>
  <si>
    <t>Customer_84</t>
  </si>
  <si>
    <t>ORD1039</t>
  </si>
  <si>
    <t>CUST1074</t>
  </si>
  <si>
    <t>Customer_43</t>
  </si>
  <si>
    <t>ORD1040</t>
  </si>
  <si>
    <t>Jeans</t>
  </si>
  <si>
    <t>ORD1041</t>
  </si>
  <si>
    <t>ORD1042</t>
  </si>
  <si>
    <t>CUST1055</t>
  </si>
  <si>
    <t>Customer_13</t>
  </si>
  <si>
    <t>ORD1043</t>
  </si>
  <si>
    <t>CUST1100</t>
  </si>
  <si>
    <t>Customer_12</t>
  </si>
  <si>
    <t>ORD1044</t>
  </si>
  <si>
    <t>CUST1069</t>
  </si>
  <si>
    <t>Customer_99</t>
  </si>
  <si>
    <t>ORD1045</t>
  </si>
  <si>
    <t>Customer_14</t>
  </si>
  <si>
    <t>ORD1046</t>
  </si>
  <si>
    <t>CUST1007</t>
  </si>
  <si>
    <t>Customer_46</t>
  </si>
  <si>
    <t>ORD1047</t>
  </si>
  <si>
    <t>CUST1065</t>
  </si>
  <si>
    <t>Customer_86</t>
  </si>
  <si>
    <t>ORD1048</t>
  </si>
  <si>
    <t>Customer_91</t>
  </si>
  <si>
    <t>ORD1049</t>
  </si>
  <si>
    <t>ORD1050</t>
  </si>
  <si>
    <t>Customer_45</t>
  </si>
  <si>
    <t>ORD1051</t>
  </si>
  <si>
    <t>CUST1057</t>
  </si>
  <si>
    <t>Customer_18</t>
  </si>
  <si>
    <t>ORD1052</t>
  </si>
  <si>
    <t>CUST1096</t>
  </si>
  <si>
    <t>Customer_16</t>
  </si>
  <si>
    <t>ORD1053</t>
  </si>
  <si>
    <t>CUST1092</t>
  </si>
  <si>
    <t>Customer_41</t>
  </si>
  <si>
    <t>ORD1054</t>
  </si>
  <si>
    <t>ORD1055</t>
  </si>
  <si>
    <t>ORD1056</t>
  </si>
  <si>
    <t>ORD1057</t>
  </si>
  <si>
    <t>Customer_74</t>
  </si>
  <si>
    <t>ORD1058</t>
  </si>
  <si>
    <t>ORD1059</t>
  </si>
  <si>
    <t>CUST1005</t>
  </si>
  <si>
    <t>Customer_94</t>
  </si>
  <si>
    <t>ORD1060</t>
  </si>
  <si>
    <t>Customer_50</t>
  </si>
  <si>
    <t>ORD1061</t>
  </si>
  <si>
    <t>CUST1051</t>
  </si>
  <si>
    <t>Customer_81</t>
  </si>
  <si>
    <t>ORD1062</t>
  </si>
  <si>
    <t>CUST1043</t>
  </si>
  <si>
    <t>Customer_75</t>
  </si>
  <si>
    <t>ORD1063</t>
  </si>
  <si>
    <t>Customer_93</t>
  </si>
  <si>
    <t>ORD1064</t>
  </si>
  <si>
    <t>ORD1065</t>
  </si>
  <si>
    <t>CUST1086</t>
  </si>
  <si>
    <t>Customer_56</t>
  </si>
  <si>
    <t>ORD1066</t>
  </si>
  <si>
    <t>ORD1067</t>
  </si>
  <si>
    <t>ORD1068</t>
  </si>
  <si>
    <t>ORD1069</t>
  </si>
  <si>
    <t>CUST1008</t>
  </si>
  <si>
    <t>Customer_40</t>
  </si>
  <si>
    <t>ORD1070</t>
  </si>
  <si>
    <t>CUST1070</t>
  </si>
  <si>
    <t>Customer_33</t>
  </si>
  <si>
    <t>ORD1071</t>
  </si>
  <si>
    <t>CUST1031</t>
  </si>
  <si>
    <t>ORD1072</t>
  </si>
  <si>
    <t>ORD1073</t>
  </si>
  <si>
    <t>CUST1020</t>
  </si>
  <si>
    <t>ORD1074</t>
  </si>
  <si>
    <t>CUST1010</t>
  </si>
  <si>
    <t>ORD1075</t>
  </si>
  <si>
    <t>CUST1035</t>
  </si>
  <si>
    <t>ORD1076</t>
  </si>
  <si>
    <t>ORD1077</t>
  </si>
  <si>
    <t>Customer_83</t>
  </si>
  <si>
    <t>ORD1078</t>
  </si>
  <si>
    <t>Customer_97</t>
  </si>
  <si>
    <t>ORD1079</t>
  </si>
  <si>
    <t>Customer_70</t>
  </si>
  <si>
    <t>ORD1080</t>
  </si>
  <si>
    <t>Customer_57</t>
  </si>
  <si>
    <t>ORD1081</t>
  </si>
  <si>
    <t>ORD1082</t>
  </si>
  <si>
    <t>Customer_95</t>
  </si>
  <si>
    <t>ORD1083</t>
  </si>
  <si>
    <t>CUST1072</t>
  </si>
  <si>
    <t>Customer_23</t>
  </si>
  <si>
    <t>ORD1084</t>
  </si>
  <si>
    <t>ORD1085</t>
  </si>
  <si>
    <t>CUST1029</t>
  </si>
  <si>
    <t>Customer_78</t>
  </si>
  <si>
    <t>ORD1086</t>
  </si>
  <si>
    <t>CUST1063</t>
  </si>
  <si>
    <t>Customer_54</t>
  </si>
  <si>
    <t>ORD1087</t>
  </si>
  <si>
    <t>ORD1088</t>
  </si>
  <si>
    <t>CUST1054</t>
  </si>
  <si>
    <t>ORD1089</t>
  </si>
  <si>
    <t>CUST1071</t>
  </si>
  <si>
    <t>ORD1090</t>
  </si>
  <si>
    <t>CUST1062</t>
  </si>
  <si>
    <t>Customer_32</t>
  </si>
  <si>
    <t>ORD1091</t>
  </si>
  <si>
    <t>ORD1092</t>
  </si>
  <si>
    <t>ORD1093</t>
  </si>
  <si>
    <t>Customer_67</t>
  </si>
  <si>
    <t>ORD1094</t>
  </si>
  <si>
    <t>Customer_85</t>
  </si>
  <si>
    <t>ORD1095</t>
  </si>
  <si>
    <t>ORD1096</t>
  </si>
  <si>
    <t>ORD1097</t>
  </si>
  <si>
    <t>CUST1087</t>
  </si>
  <si>
    <t>ORD1098</t>
  </si>
  <si>
    <t>Customer_58</t>
  </si>
  <si>
    <t>ORD1099</t>
  </si>
  <si>
    <t>CUST1017</t>
  </si>
  <si>
    <t>Customer_37</t>
  </si>
  <si>
    <t>ORD1100</t>
  </si>
  <si>
    <t>Customer_53</t>
  </si>
  <si>
    <t>ORD1101</t>
  </si>
  <si>
    <t>ORD1102</t>
  </si>
  <si>
    <t>ORD1103</t>
  </si>
  <si>
    <t>Customer_98</t>
  </si>
  <si>
    <t>ORD1104</t>
  </si>
  <si>
    <t>ORD1105</t>
  </si>
  <si>
    <t>CUST1061</t>
  </si>
  <si>
    <t>Customer_17</t>
  </si>
  <si>
    <t>ORD1106</t>
  </si>
  <si>
    <t>ORD1107</t>
  </si>
  <si>
    <t>CUST1085</t>
  </si>
  <si>
    <t>ORD1108</t>
  </si>
  <si>
    <t>CUST1095</t>
  </si>
  <si>
    <t>ORD1109</t>
  </si>
  <si>
    <t>ORD1110</t>
  </si>
  <si>
    <t>CUST1033</t>
  </si>
  <si>
    <t>ORD1111</t>
  </si>
  <si>
    <t>ORD1112</t>
  </si>
  <si>
    <t>ORD1113</t>
  </si>
  <si>
    <t>ORD1114</t>
  </si>
  <si>
    <t>ORD1115</t>
  </si>
  <si>
    <t>CUST1093</t>
  </si>
  <si>
    <t>ORD1116</t>
  </si>
  <si>
    <t>ORD1117</t>
  </si>
  <si>
    <t>ORD1118</t>
  </si>
  <si>
    <t>CUST1056</t>
  </si>
  <si>
    <t>ORD1119</t>
  </si>
  <si>
    <t>Customer_79</t>
  </si>
  <si>
    <t>ORD1120</t>
  </si>
  <si>
    <t>CUST1040</t>
  </si>
  <si>
    <t>ORD1121</t>
  </si>
  <si>
    <t>ORD1122</t>
  </si>
  <si>
    <t>Customer_27</t>
  </si>
  <si>
    <t>ORD1123</t>
  </si>
  <si>
    <t>CUST1053</t>
  </si>
  <si>
    <t>Customer_30</t>
  </si>
  <si>
    <t>ORD1124</t>
  </si>
  <si>
    <t>ORD1125</t>
  </si>
  <si>
    <t>CUST1028</t>
  </si>
  <si>
    <t>ORD1126</t>
  </si>
  <si>
    <t>CUST1022</t>
  </si>
  <si>
    <t>ORD1127</t>
  </si>
  <si>
    <t>ORD1128</t>
  </si>
  <si>
    <t>CUST1015</t>
  </si>
  <si>
    <t>Customer_29</t>
  </si>
  <si>
    <t>ORD1129</t>
  </si>
  <si>
    <t>ORD1130</t>
  </si>
  <si>
    <t>ORD1131</t>
  </si>
  <si>
    <t>ORD1132</t>
  </si>
  <si>
    <t>ORD1133</t>
  </si>
  <si>
    <t>CUST1002</t>
  </si>
  <si>
    <t>Customer_88</t>
  </si>
  <si>
    <t>ORD1134</t>
  </si>
  <si>
    <t>CUST1032</t>
  </si>
  <si>
    <t>Customer_11</t>
  </si>
  <si>
    <t>ORD1135</t>
  </si>
  <si>
    <t>ORD1136</t>
  </si>
  <si>
    <t>CUST1077</t>
  </si>
  <si>
    <t>ORD1137</t>
  </si>
  <si>
    <t>CUST1075</t>
  </si>
  <si>
    <t>Customer_61</t>
  </si>
  <si>
    <t>ORD1138</t>
  </si>
  <si>
    <t>ORD1139</t>
  </si>
  <si>
    <t>ORD1140</t>
  </si>
  <si>
    <t>ORD1141</t>
  </si>
  <si>
    <t>ORD1142</t>
  </si>
  <si>
    <t>CUST1004</t>
  </si>
  <si>
    <t>ORD1143</t>
  </si>
  <si>
    <t>ORD1144</t>
  </si>
  <si>
    <t>CUST1021</t>
  </si>
  <si>
    <t>ORD1145</t>
  </si>
  <si>
    <t>ORD1146</t>
  </si>
  <si>
    <t>ORD1147</t>
  </si>
  <si>
    <t>ORD1148</t>
  </si>
  <si>
    <t>CUST1076</t>
  </si>
  <si>
    <t>ORD1149</t>
  </si>
  <si>
    <t>ORD1150</t>
  </si>
  <si>
    <t>ORD1151</t>
  </si>
  <si>
    <t>ORD1152</t>
  </si>
  <si>
    <t>CUST1084</t>
  </si>
  <si>
    <t>ORD1153</t>
  </si>
  <si>
    <t>ORD1154</t>
  </si>
  <si>
    <t>Customer_47</t>
  </si>
  <si>
    <t>ORD1155</t>
  </si>
  <si>
    <t>ORD1156</t>
  </si>
  <si>
    <t>Customer_4</t>
  </si>
  <si>
    <t>ORD1157</t>
  </si>
  <si>
    <t>ORD1158</t>
  </si>
  <si>
    <t>Customer_44</t>
  </si>
  <si>
    <t>ORD1159</t>
  </si>
  <si>
    <t>Customer_26</t>
  </si>
  <si>
    <t>ORD1160</t>
  </si>
  <si>
    <t>ORD1161</t>
  </si>
  <si>
    <t>ORD1162</t>
  </si>
  <si>
    <t>Customer_49</t>
  </si>
  <si>
    <t>ORD1163</t>
  </si>
  <si>
    <t>Customer_36</t>
  </si>
  <si>
    <t>ORD1164</t>
  </si>
  <si>
    <t>ORD1165</t>
  </si>
  <si>
    <t>CUST1068</t>
  </si>
  <si>
    <t>ORD1166</t>
  </si>
  <si>
    <t>ORD1167</t>
  </si>
  <si>
    <t>ORD1168</t>
  </si>
  <si>
    <t>ORD1169</t>
  </si>
  <si>
    <t>ORD1170</t>
  </si>
  <si>
    <t>ORD1171</t>
  </si>
  <si>
    <t>ORD1172</t>
  </si>
  <si>
    <t>ORD1173</t>
  </si>
  <si>
    <t>ORD1174</t>
  </si>
  <si>
    <t>ORD1175</t>
  </si>
  <si>
    <t>ORD1176</t>
  </si>
  <si>
    <t>CUST1049</t>
  </si>
  <si>
    <t>ORD1177</t>
  </si>
  <si>
    <t>ORD1178</t>
  </si>
  <si>
    <t>ORD1179</t>
  </si>
  <si>
    <t>CUST1079</t>
  </si>
  <si>
    <t>Customer_68</t>
  </si>
  <si>
    <t>ORD1180</t>
  </si>
  <si>
    <t>ORD1181</t>
  </si>
  <si>
    <t>CUST1050</t>
  </si>
  <si>
    <t>Customer_31</t>
  </si>
  <si>
    <t>ORD1182</t>
  </si>
  <si>
    <t>ORD1183</t>
  </si>
  <si>
    <t>ORD1184</t>
  </si>
  <si>
    <t>ORD1185</t>
  </si>
  <si>
    <t>ORD1186</t>
  </si>
  <si>
    <t>ORD1187</t>
  </si>
  <si>
    <t>CUST1013</t>
  </si>
  <si>
    <t>Customer_64</t>
  </si>
  <si>
    <t>ORD1188</t>
  </si>
  <si>
    <t>Customer_28</t>
  </si>
  <si>
    <t>ORD1189</t>
  </si>
  <si>
    <t>Customer_77</t>
  </si>
  <si>
    <t>ORD1190</t>
  </si>
  <si>
    <t>CUST1058</t>
  </si>
  <si>
    <t>ORD1191</t>
  </si>
  <si>
    <t>ORD1192</t>
  </si>
  <si>
    <t>CUST1036</t>
  </si>
  <si>
    <t>ORD1193</t>
  </si>
  <si>
    <t>ORD1194</t>
  </si>
  <si>
    <t>CUST1059</t>
  </si>
  <si>
    <t>ORD1195</t>
  </si>
  <si>
    <t>ORD1196</t>
  </si>
  <si>
    <t>ORD1197</t>
  </si>
  <si>
    <t>ORD1198</t>
  </si>
  <si>
    <t>CUST1023</t>
  </si>
  <si>
    <t>ORD1199</t>
  </si>
  <si>
    <t>ORD1200</t>
  </si>
  <si>
    <t>CUST1041</t>
  </si>
  <si>
    <t>ORD1201</t>
  </si>
  <si>
    <t>ORD1202</t>
  </si>
  <si>
    <t>ORD1203</t>
  </si>
  <si>
    <t>ORD1204</t>
  </si>
  <si>
    <t>CUST1082</t>
  </si>
  <si>
    <t>ORD1205</t>
  </si>
  <si>
    <t>Customer_100</t>
  </si>
  <si>
    <t>ORD1206</t>
  </si>
  <si>
    <t>ORD1207</t>
  </si>
  <si>
    <t>CUST1078</t>
  </si>
  <si>
    <t>ORD1208</t>
  </si>
  <si>
    <t>ORD1209</t>
  </si>
  <si>
    <t>ORD1210</t>
  </si>
  <si>
    <t>ORD1211</t>
  </si>
  <si>
    <t>ORD1212</t>
  </si>
  <si>
    <t>Customer_73</t>
  </si>
  <si>
    <t>ORD1213</t>
  </si>
  <si>
    <t>ORD1214</t>
  </si>
  <si>
    <t>ORD1215</t>
  </si>
  <si>
    <t>ORD1216</t>
  </si>
  <si>
    <t>electronics</t>
  </si>
  <si>
    <t>ORD1217</t>
  </si>
  <si>
    <t>ORD1218</t>
  </si>
  <si>
    <t>ORD1219</t>
  </si>
  <si>
    <t>ORD1220</t>
  </si>
  <si>
    <t>ORD1221</t>
  </si>
  <si>
    <t>Customer_55</t>
  </si>
  <si>
    <t>ORD1222</t>
  </si>
  <si>
    <t>ORD1223</t>
  </si>
  <si>
    <t>ORD1224</t>
  </si>
  <si>
    <t>Customer_59</t>
  </si>
  <si>
    <t>ORD1225</t>
  </si>
  <si>
    <t>ORD1226</t>
  </si>
  <si>
    <t>ORD1227</t>
  </si>
  <si>
    <t>ORD1228</t>
  </si>
  <si>
    <t>CUST1094</t>
  </si>
  <si>
    <t>ORD1229</t>
  </si>
  <si>
    <t>ORD1230</t>
  </si>
  <si>
    <t>ORD1231</t>
  </si>
  <si>
    <t>ORD1232</t>
  </si>
  <si>
    <t>ORD1233</t>
  </si>
  <si>
    <t>ORD1234</t>
  </si>
  <si>
    <t>ORD1235</t>
  </si>
  <si>
    <t>ORD1236</t>
  </si>
  <si>
    <t>ORD1237</t>
  </si>
  <si>
    <t>Customer_9</t>
  </si>
  <si>
    <t>ORD1238</t>
  </si>
  <si>
    <t>ORD1239</t>
  </si>
  <si>
    <t>ORD1240</t>
  </si>
  <si>
    <t>ORD1241</t>
  </si>
  <si>
    <t>ORD1242</t>
  </si>
  <si>
    <t>Customer_20</t>
  </si>
  <si>
    <t>ORD1243</t>
  </si>
  <si>
    <t>ORD1244</t>
  </si>
  <si>
    <t>CUST1011</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</si>
  <si>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</si>
  <si>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</si>
  <si>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</si>
  <si>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</si>
  <si>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</si>
  <si>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</si>
  <si>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</si>
  <si>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</si>
  <si>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</si>
  <si>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</si>
  <si>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</si>
  <si>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</si>
  <si>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</si>
  <si>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</si>
  <si>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</si>
  <si>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</si>
  <si>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</si>
  <si>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</si>
  <si>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</si>
  <si>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</si>
  <si>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</si>
  <si>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</si>
  <si>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</si>
  <si>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</si>
  <si>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</si>
  <si>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</si>
  <si>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</si>
  <si>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</si>
  <si>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</si>
  <si>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</si>
  <si>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</si>
  <si>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</si>
  <si>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</si>
  <si>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</si>
  <si>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Customer_10</t>
  </si>
  <si>
    <t>ORD1279</t>
  </si>
  <si>
    <t>ORD1280</t>
  </si>
  <si>
    <t>ORD1281</t>
  </si>
  <si>
    <t>CUST1009</t>
  </si>
  <si>
    <t>ORD1282</t>
  </si>
  <si>
    <t>ORD1283</t>
  </si>
  <si>
    <t>ORD1284</t>
  </si>
  <si>
    <t>ORD1285</t>
  </si>
  <si>
    <t>ORD1286</t>
  </si>
  <si>
    <t>ORD1287</t>
  </si>
  <si>
    <t>ORD1288</t>
  </si>
  <si>
    <t>ORD1289</t>
  </si>
  <si>
    <t>ORD1290</t>
  </si>
  <si>
    <t>ORD1291</t>
  </si>
  <si>
    <t>ORD1292</t>
  </si>
  <si>
    <t>ORD1293</t>
  </si>
  <si>
    <t>Customer_6</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</si>
  <si>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</si>
  <si>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</si>
  <si>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</si>
  <si>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</si>
  <si>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</si>
  <si>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</si>
  <si>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</si>
  <si>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</si>
  <si>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</si>
  <si>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</si>
  <si>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</si>
  <si>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</si>
  <si>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</si>
  <si>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</si>
  <si>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</si>
  <si>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</si>
  <si>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</si>
  <si>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</si>
  <si>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CUST1081</t>
  </si>
  <si>
    <t>ORD1312</t>
  </si>
  <si>
    <t>ORD1313</t>
  </si>
  <si>
    <t>ORD1314</t>
  </si>
  <si>
    <t>ORD1315</t>
  </si>
  <si>
    <t>ORD1316</t>
  </si>
  <si>
    <t>Customer_65</t>
  </si>
  <si>
    <t>ORD1317</t>
  </si>
  <si>
    <t>ORD1318</t>
  </si>
  <si>
    <t>ORD1319</t>
  </si>
  <si>
    <t>ORD1320</t>
  </si>
  <si>
    <t>ORD1321</t>
  </si>
  <si>
    <t>Customer_8</t>
  </si>
  <si>
    <t>ORD1322</t>
  </si>
  <si>
    <t>ORD1323</t>
  </si>
  <si>
    <t>ORD1324</t>
  </si>
  <si>
    <t>ORD1325</t>
  </si>
  <si>
    <t>ORD1326</t>
  </si>
  <si>
    <t>ORD1327</t>
  </si>
  <si>
    <t>ORD1328</t>
  </si>
  <si>
    <t>CUST1025</t>
  </si>
  <si>
    <t>ORD1329</t>
  </si>
  <si>
    <t>CUST1042</t>
  </si>
  <si>
    <t>ORD1330</t>
  </si>
  <si>
    <t>Customer_48</t>
  </si>
  <si>
    <t>ORD1331</t>
  </si>
  <si>
    <t>ORD1332</t>
  </si>
  <si>
    <t>ORD1333</t>
  </si>
  <si>
    <t>ORD1334</t>
  </si>
  <si>
    <t>ORD1335</t>
  </si>
  <si>
    <t>ORD1336</t>
  </si>
  <si>
    <t>ORD1337</t>
  </si>
  <si>
    <t>ORD1338</t>
  </si>
  <si>
    <t>ORD1339</t>
  </si>
  <si>
    <t>ORD1340</t>
  </si>
  <si>
    <t>ORD1341</t>
  </si>
  <si>
    <t>ORD1342</t>
  </si>
  <si>
    <t>ORD1343</t>
  </si>
  <si>
    <t>ORD1344</t>
  </si>
  <si>
    <t>ORD1345</t>
  </si>
  <si>
    <t>ORD1346</t>
  </si>
  <si>
    <t>Customer_71</t>
  </si>
  <si>
    <t>ORD1347</t>
  </si>
  <si>
    <t>ORD1348</t>
  </si>
  <si>
    <t>ORD1349</t>
  </si>
  <si>
    <t>CUST1064</t>
  </si>
  <si>
    <t>ORD1350</t>
  </si>
  <si>
    <t>ORD1351</t>
  </si>
  <si>
    <t>CUST1045</t>
  </si>
  <si>
    <t>ORD1352</t>
  </si>
  <si>
    <t>ORD1353</t>
  </si>
  <si>
    <t>ORD1354</t>
  </si>
  <si>
    <t>ORD1355</t>
  </si>
  <si>
    <t>ORD1356</t>
  </si>
  <si>
    <t>ORD1357</t>
  </si>
  <si>
    <t>ORD1358</t>
  </si>
  <si>
    <t>ORD1359</t>
  </si>
  <si>
    <t>ORD1360</t>
  </si>
  <si>
    <t>ORD1361</t>
  </si>
  <si>
    <t>ORD1362</t>
  </si>
  <si>
    <t>ORD1363</t>
  </si>
  <si>
    <t>Customer_69</t>
  </si>
  <si>
    <t>ORD1364</t>
  </si>
  <si>
    <t>ORD1365</t>
  </si>
  <si>
    <t>ORD1366</t>
  </si>
  <si>
    <t>CUST1046</t>
  </si>
  <si>
    <t>ORD1367</t>
  </si>
  <si>
    <t>ORD1368</t>
  </si>
  <si>
    <t>ORD1369</t>
  </si>
  <si>
    <t>ORD1370</t>
  </si>
  <si>
    <t>ORD1371</t>
  </si>
  <si>
    <t>ORD1372</t>
  </si>
  <si>
    <t>ORD1373</t>
  </si>
  <si>
    <t>ORD1374</t>
  </si>
  <si>
    <t>ORD1375</t>
  </si>
  <si>
    <t>ORD1376</t>
  </si>
  <si>
    <t>Customer_22</t>
  </si>
  <si>
    <t>ORD1377</t>
  </si>
  <si>
    <t>ORD1378</t>
  </si>
  <si>
    <t>ORD1379</t>
  </si>
  <si>
    <t>ORD1380</t>
  </si>
  <si>
    <t>Customer_80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</si>
  <si>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</si>
  <si>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</si>
  <si>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</si>
  <si>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</si>
  <si>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</si>
  <si>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</si>
  <si>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</si>
  <si>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</si>
  <si>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</si>
  <si>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</si>
  <si>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</si>
  <si>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</si>
  <si>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</si>
  <si>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</si>
  <si>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</si>
  <si>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</si>
  <si>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</si>
  <si>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</si>
  <si>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</si>
  <si>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</si>
  <si>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Row Labels</t>
  </si>
  <si>
    <t>Grand Total</t>
  </si>
  <si>
    <t>Sum of Profit</t>
  </si>
  <si>
    <t>Sum of Revenue</t>
  </si>
  <si>
    <t>KPI</t>
  </si>
  <si>
    <t>Total Revenue</t>
  </si>
  <si>
    <t>Total Cost</t>
  </si>
  <si>
    <t>Total Profit</t>
  </si>
  <si>
    <t>Profit Margin %</t>
  </si>
  <si>
    <t>Total Orders</t>
  </si>
  <si>
    <t>Total Quantity Sold</t>
  </si>
  <si>
    <t>Average Order Value</t>
  </si>
  <si>
    <t>Category-wise Total Revenue</t>
  </si>
  <si>
    <t>Category-wise Total Profit</t>
  </si>
  <si>
    <t>Category-wise Quantity Sold</t>
  </si>
  <si>
    <t>Har category ka Profit Margin %</t>
  </si>
  <si>
    <t>Best Category by Revenue</t>
  </si>
  <si>
    <t>Best Category by Profit</t>
  </si>
  <si>
    <t>Worst Category by Profit Margin</t>
  </si>
  <si>
    <t>Sum of Margin %</t>
  </si>
  <si>
    <r>
      <t xml:space="preserve">🥇 </t>
    </r>
    <r>
      <rPr>
        <b/>
        <sz val="11"/>
        <color theme="1"/>
        <rFont val="Calibri"/>
        <family val="2"/>
        <scheme val="minor"/>
      </rPr>
      <t>Top 5 Products by Revenue</t>
    </r>
  </si>
  <si>
    <r>
      <t xml:space="preserve">🥇 </t>
    </r>
    <r>
      <rPr>
        <b/>
        <sz val="11"/>
        <color theme="1"/>
        <rFont val="Calibri"/>
        <family val="2"/>
        <scheme val="minor"/>
      </rPr>
      <t>Top 5 Products by Profit</t>
    </r>
  </si>
  <si>
    <r>
      <t xml:space="preserve">📉 </t>
    </r>
    <r>
      <rPr>
        <b/>
        <sz val="11"/>
        <color theme="1"/>
        <rFont val="Calibri"/>
        <family val="2"/>
        <scheme val="minor"/>
      </rPr>
      <t>Bottom 5 Products by Revenue</t>
    </r>
  </si>
  <si>
    <r>
      <t xml:space="preserve">📉 </t>
    </r>
    <r>
      <rPr>
        <b/>
        <sz val="11"/>
        <color theme="1"/>
        <rFont val="Calibri"/>
        <family val="2"/>
        <scheme val="minor"/>
      </rPr>
      <t>Bottom 5 Products by Profit</t>
    </r>
  </si>
  <si>
    <r>
      <t xml:space="preserve">📦 </t>
    </r>
    <r>
      <rPr>
        <b/>
        <sz val="11"/>
        <color theme="1"/>
        <rFont val="Calibri"/>
        <family val="2"/>
        <scheme val="minor"/>
      </rPr>
      <t>Top 5 Products by Quantity Sold</t>
    </r>
  </si>
  <si>
    <r>
      <t xml:space="preserve">💰 Har product ka </t>
    </r>
    <r>
      <rPr>
        <b/>
        <sz val="11"/>
        <color theme="1"/>
        <rFont val="Calibri"/>
        <family val="2"/>
        <scheme val="minor"/>
      </rPr>
      <t>Profit Margin %</t>
    </r>
  </si>
  <si>
    <t>Region-wise Revenue</t>
  </si>
  <si>
    <t>Region-wise Profit</t>
  </si>
  <si>
    <t>Region-wise Quantity</t>
  </si>
  <si>
    <t>Region-wise Orders</t>
  </si>
  <si>
    <t>Region-wise Profit Margin %</t>
  </si>
  <si>
    <t>Best &amp; Worst Region</t>
  </si>
  <si>
    <r>
      <rPr>
        <b/>
        <sz val="11"/>
        <color theme="1"/>
        <rFont val="Calibri"/>
        <family val="2"/>
        <scheme val="minor"/>
      </rPr>
      <t>worst rigion by profit &amp; revenue is West</t>
    </r>
    <r>
      <rPr>
        <sz val="11"/>
        <color theme="1"/>
        <rFont val="Calibri"/>
        <family val="2"/>
        <scheme val="minor"/>
      </rPr>
      <t xml:space="preserve">   </t>
    </r>
  </si>
  <si>
    <t>Count of Order_ID</t>
  </si>
  <si>
    <t>Best rigion by profit is East</t>
  </si>
  <si>
    <t>Best rigion by profit is North</t>
  </si>
  <si>
    <r>
      <t xml:space="preserve">🥇 </t>
    </r>
    <r>
      <rPr>
        <b/>
        <sz val="11"/>
        <color theme="1"/>
        <rFont val="Calibri"/>
        <family val="2"/>
        <scheme val="minor"/>
      </rPr>
      <t>Best Salesperson by Revenue is Amit</t>
    </r>
  </si>
  <si>
    <r>
      <t xml:space="preserve">🥇 </t>
    </r>
    <r>
      <rPr>
        <b/>
        <sz val="11"/>
        <color theme="1"/>
        <rFont val="Calibri"/>
        <family val="2"/>
        <scheme val="minor"/>
      </rPr>
      <t>Best Salesperson by Profit is Amit</t>
    </r>
  </si>
  <si>
    <r>
      <t xml:space="preserve">📦 </t>
    </r>
    <r>
      <rPr>
        <b/>
        <sz val="11"/>
        <color theme="1"/>
        <rFont val="Calibri"/>
        <family val="2"/>
        <scheme val="minor"/>
      </rPr>
      <t>Best Salesperson by Quantity is Amit</t>
    </r>
  </si>
  <si>
    <t>Salesperson2</t>
  </si>
  <si>
    <r>
      <t xml:space="preserve">📉 </t>
    </r>
    <r>
      <rPr>
        <b/>
        <sz val="11"/>
        <color theme="1"/>
        <rFont val="Calibri"/>
        <family val="2"/>
        <scheme val="minor"/>
      </rPr>
      <t>Worst Salesperson by Profit is vikas</t>
    </r>
  </si>
  <si>
    <t>Best Salesperson by margin is Arjun</t>
  </si>
  <si>
    <t>Best Salespersonorder count is Neha</t>
  </si>
  <si>
    <t>Jan</t>
  </si>
  <si>
    <t>Feb</t>
  </si>
  <si>
    <t>Mar</t>
  </si>
  <si>
    <t>Apr</t>
  </si>
  <si>
    <t>May</t>
  </si>
  <si>
    <t>Jun</t>
  </si>
  <si>
    <t>Jul</t>
  </si>
  <si>
    <t>Aug</t>
  </si>
  <si>
    <t>Sep</t>
  </si>
  <si>
    <t>Oct</t>
  </si>
  <si>
    <t>Nov</t>
  </si>
  <si>
    <t>Dec</t>
  </si>
  <si>
    <r>
      <t xml:space="preserve">Monthly Revenue ka </t>
    </r>
    <r>
      <rPr>
        <b/>
        <sz val="11"/>
        <color theme="1"/>
        <rFont val="Calibri"/>
        <family val="2"/>
        <scheme val="minor"/>
      </rPr>
      <t>Line Chart</t>
    </r>
    <r>
      <rPr>
        <sz val="11"/>
        <color theme="1"/>
        <rFont val="Calibri"/>
        <family val="2"/>
        <scheme val="minor"/>
      </rPr>
      <t xml:space="preserve"> 📈</t>
    </r>
  </si>
  <si>
    <t>🏆 Highest Revenue Month May</t>
  </si>
  <si>
    <t>📉 Lowest Revenue Month March</t>
  </si>
  <si>
    <t>🏆 Highest Profit Month May</t>
  </si>
  <si>
    <t>📉 Lowest Profit Month March</t>
  </si>
  <si>
    <t xml:space="preserve">Total Orders by Month Oct, May &amp; Feb </t>
  </si>
  <si>
    <t>Total Revenue per Customer</t>
  </si>
  <si>
    <t>Average Order Value per Customer is 62614.3</t>
  </si>
  <si>
    <t>Top 5 Customers by Revenue is Customer_29
Customer_61
Customer_43
Customer_73
Customer_4</t>
  </si>
  <si>
    <t>Top 5 Customers by Profit is Customer_29 Customer_43
Customer_61
Customer_96
Customer_55</t>
  </si>
  <si>
    <t>Top 5 Customers by Orders is Customer_25 — 11
Customer_26 — 8
Customer_53 — 8
Customer_68 — 8
Customer_94 — 8</t>
  </si>
  <si>
    <t>Top 5 Customers by Quantity Customer_38 — 55
Customer_25 — 52
Customer_95 — 41
Customer_68 — 39
Customer_55 — 37</t>
  </si>
  <si>
    <t>Online Revenue  14169759.7</t>
  </si>
  <si>
    <t>Store Revenue 11003585</t>
  </si>
  <si>
    <t>Online Profit 4016681.56</t>
  </si>
  <si>
    <t>Store Profit 3177632.53</t>
  </si>
  <si>
    <t xml:space="preserve">Online vs Store Profit Margin 28.58% </t>
  </si>
  <si>
    <r>
      <t xml:space="preserve">🏆 </t>
    </r>
    <r>
      <rPr>
        <b/>
        <sz val="11"/>
        <color theme="1"/>
        <rFont val="Calibri"/>
        <family val="2"/>
        <scheme val="minor"/>
      </rPr>
      <t>Best Sales Channel</t>
    </r>
    <r>
      <rPr>
        <sz val="11"/>
        <color theme="1"/>
        <rFont val="Calibri"/>
        <family val="2"/>
        <scheme val="minor"/>
      </rPr>
      <t xml:space="preserve"> </t>
    </r>
    <r>
      <rPr>
        <b/>
        <sz val="11"/>
        <color theme="1"/>
        <rFont val="Calibri"/>
        <family val="2"/>
        <scheme val="minor"/>
      </rPr>
      <t>Online</t>
    </r>
  </si>
  <si>
    <t>Best by Revenue → Online</t>
  </si>
  <si>
    <t>Best by Profit → Online</t>
  </si>
  <si>
    <t>Best by Profit Margin → Store</t>
  </si>
  <si>
    <t>Online vs Store ka important insight</t>
  </si>
  <si>
    <t>Best-performing Region East region had the highest profit of ₹20.54 lakh with a 30.75% profit margin</t>
  </si>
  <si>
    <t>Best-performing Category Electronics is the best category revenue with 15.25 lakh &amp; 29.10% profit margin</t>
  </si>
  <si>
    <t xml:space="preserve">Best Salesperson Amit he give us best profit with  ₹44.80 lakh with 29.33% profit margin </t>
  </si>
  <si>
    <t xml:space="preserve">Strongest Month May ₹28.11 lakh  </t>
  </si>
  <si>
    <t>Customer</t>
  </si>
  <si>
    <t xml:space="preserve">we should gain Electronics in category because this gave us best profit </t>
  </si>
  <si>
    <t xml:space="preserve">and we should expends our bussiness in East Region </t>
  </si>
  <si>
    <t xml:space="preserve">and we need to give bonus of Amit he gave us best profit </t>
  </si>
  <si>
    <t xml:space="preserve">and we should expends our bussiness in  may </t>
  </si>
  <si>
    <t>Column1</t>
  </si>
  <si>
    <t>Sum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</si>
</sst>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0.00,&quot;K&quot;"/>
    <numFmt numFmtId="165" formatCode="0.0%"/>
  </numFmts>
  <fonts count="4" x14ac:knownFonts="1">
    <font>
      <sz val="11"/>
      <color theme="1"/>
      <name val="Calibri"/>
      <family val="2"/>
      <scheme val="minor"/>
    </font>
    <font>
      <b/>
      <sz val="11"/>
      <color theme="1"/>
      <name val="Calibri"/>
      <family val="2"/>
      <scheme val="minor"/>
    </font>
    <font>
      <b/>
      <sz val="16"/>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vertical="center" wrapText="1"/>
    </xf>
    <xf numFmtId="0" fontId="1" fillId="0" borderId="0" xfId="0" applyFont="1"/>
    <xf numFmtId="0" fontId="1" fillId="0" borderId="0" xfId="0" applyFont="1" applyAlignment="1">
      <alignment horizontal="left"/>
    </xf>
    <xf numFmtId="0" fontId="1" fillId="0" borderId="0" xfId="0" applyFont="1" applyAlignment="1">
      <alignment wrapText="1"/>
    </xf>
    <xf numFmtId="164" fontId="0" fillId="0" borderId="0" xfId="0" applyNumberFormat="1"/>
    <xf numFmtId="164" fontId="0" fillId="0" borderId="0" xfId="0" applyNumberFormat="1" applyAlignment="1">
      <alignment vertical="center" wrapText="1"/>
    </xf>
    <xf numFmtId="165" fontId="0" fillId="0" borderId="0" xfId="1" applyNumberFormat="1" applyFont="1" applyAlignment="1">
      <alignment vertical="center" wrapText="1"/>
    </xf>
    <xf numFmtId="3" fontId="0" fillId="0" borderId="0" xfId="0" applyNumberFormat="1" applyAlignment="1">
      <alignment vertical="center" wrapText="1"/>
    </xf>
    <xf numFmtId="9" fontId="0" fillId="0" borderId="0" xfId="1" applyFont="1"/>
    <xf numFmtId="0" fontId="2" fillId="0" borderId="0" xfId="0" applyFont="1" applyAlignment="1">
      <alignment horizontal="center" vertical="center"/>
    </xf>
    <xf numFmtId="0" fontId="0" fillId="0" borderId="0" xfId="0" applyNumberFormat="1"/>
  </cellXfs>
  <cellStyles count="2">
    <cellStyle name="Normal" xfId="0" builtinId="0"/>
    <cellStyle name="Per cent" xfId="1" builtinId="5"/>
  </cellStyles>
  <dxfs count="7">
    <dxf>
      <font>
        <color rgb="FF9C0006"/>
      </font>
      <fill>
        <patternFill>
          <bgColor rgb="FFFFC7CE"/>
        </patternFill>
      </fill>
    </dxf>
    <dxf>
      <numFmt numFmtId="0" formatCode="General"/>
    </dxf>
    <dxf>
      <numFmt numFmtId="19" formatCode="dd/mm/yyyy"/>
    </dxf>
    <dxf>
      <font>
        <sz val="12"/>
        <color theme="0"/>
        <name val="Aptos Black"/>
        <family val="2"/>
        <scheme val="none"/>
      </font>
      <fill>
        <patternFill>
          <bgColor theme="1" tint="0.499984740745262"/>
        </patternFill>
      </fill>
      <border diagonalUp="0" diagonalDown="0">
        <left/>
        <right/>
        <top/>
        <bottom/>
        <vertical/>
        <horizontal/>
      </border>
    </dxf>
    <dxf>
      <font>
        <color theme="0"/>
      </font>
      <fill>
        <patternFill patternType="solid">
          <bgColor theme="1" tint="0.499984740745262"/>
        </patternFill>
      </fill>
      <border diagonalUp="0" diagonalDown="0">
        <left/>
        <right/>
        <top/>
        <bottom/>
        <vertical/>
        <horizontal/>
      </border>
    </dxf>
    <dxf>
      <font>
        <sz val="14"/>
        <color theme="0"/>
        <name val="Aptos Black"/>
        <family val="2"/>
        <scheme val="none"/>
      </font>
      <fill>
        <patternFill>
          <bgColor theme="1" tint="0.499984740745262"/>
        </patternFill>
      </fill>
      <border diagonalUp="0" diagonalDown="0">
        <left/>
        <right/>
        <top/>
        <bottom/>
        <vertical/>
        <horizontal/>
      </border>
    </dxf>
    <dxf>
      <font>
        <color theme="1"/>
        <name val="Aptos Black"/>
        <family val="2"/>
        <scheme val="none"/>
      </font>
      <fill>
        <patternFill>
          <bgColor theme="1" tint="0.499984740745262"/>
        </patternFill>
      </fill>
      <border diagonalUp="0" diagonalDown="0">
        <left/>
        <right/>
        <top/>
        <bottom/>
        <vertical/>
        <horizontal/>
      </border>
    </dxf>
  </dxfs>
  <tableStyles count="2" defaultTableStyle="TableStyleMedium9" defaultPivotStyle="PivotStyleLight16">
    <tableStyle name="SlicerStyleLight1 2" pivot="0" table="0" count="10" xr9:uid="{4FC93D38-35FF-41B0-9336-8FCAC6D66B78}">
      <tableStyleElement type="wholeTable" dxfId="6"/>
      <tableStyleElement type="headerRow" dxfId="5"/>
    </tableStyle>
    <tableStyle name="TimeSlicerStyleLight1 2" pivot="0" table="0" count="9" xr9:uid="{F074AE2C-53D1-4866-A383-1A3A04E9CCD9}">
      <tableStyleElement type="wholeTable" dxfId="4"/>
      <tableStyleElement type="headerRow" dxfId="3"/>
    </tableStyle>
  </tableStyles>
  <colors>
    <mruColors>
      <color rgb="FF56BC10"/>
      <color rgb="FF228614"/>
      <color rgb="FF09AF11"/>
      <color rgb="FFA5C323"/>
      <color rgb="FF338214"/>
      <color rgb="FF44BC14"/>
      <color rgb="FFBEBE0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4"/>
            <color theme="0" tint="-0.24994659260841701"/>
            <name val="Aptos Black"/>
            <family val="2"/>
            <scheme val="none"/>
          </font>
          <fill>
            <patternFill patternType="solid">
              <fgColor theme="4" tint="0.79995117038483843"/>
              <bgColor theme="0" tint="-0.24994659260841701"/>
            </patternFill>
          </fill>
          <border diagonalUp="0" diagonalDown="0">
            <left/>
            <right/>
            <top/>
            <bottom/>
            <vertical/>
            <horizontal/>
          </border>
        </dxf>
        <dxf>
          <font>
            <sz val="14"/>
            <color theme="0"/>
            <name val="Aptos Black"/>
            <family val="2"/>
            <scheme val="none"/>
          </font>
          <fill>
            <patternFill patternType="solid">
              <fgColor theme="4" tint="0.59999389629810485"/>
              <bgColor rgb="FF56BC1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92D050"/>
            </patternFill>
          </fill>
          <border diagonalUp="0" diagonalDown="0">
            <left/>
            <right/>
            <top/>
            <bottom/>
            <vertical/>
            <horizontal/>
          </border>
        </dxf>
        <dxf>
          <font>
            <sz val="9"/>
            <color theme="0"/>
          </font>
          <border>
            <left/>
            <right/>
            <top/>
            <bottom/>
            <vertical/>
            <horizontal/>
          </border>
        </dxf>
        <dxf>
          <font>
            <sz val="9"/>
            <color theme="0"/>
          </font>
          <border>
            <left/>
            <right/>
            <top/>
            <bottom/>
            <vertical/>
            <horizontal/>
          </border>
        </dxf>
        <dxf>
          <font>
            <sz val="9"/>
            <color theme="0"/>
          </font>
          <border>
            <left/>
            <right/>
            <top/>
            <bottom/>
            <vertical/>
            <horizontal/>
          </border>
        </dxf>
        <dxf>
          <font>
            <sz val="12"/>
            <color theme="0"/>
            <name val="Aptos Black"/>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[company_data.xlsx]Month!PivotTable1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a:solidFill>
              <a:srgbClr val="44BC14">
                <a:alpha val="40000"/>
              </a:srgbClr>
            </a:solidFill>
            <a:round/>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73025" cap="rnd">
            <a:solidFill>
              <a:srgbClr val="44BC14">
                <a:alpha val="40000"/>
              </a:srgbClr>
            </a:solidFill>
            <a:round/>
          </a:ln>
          <a:effectLst/>
        </c:spPr>
        <c:marker>
          <c:symbol val="none"/>
        </c:marker>
        <c:dLbl>
          <c:idx val="0"/>
          <c:layout>
            <c:manualLayout>
              <c:x val="-0.15881466161666499"/>
              <c:y val="-6.9205599300087489E-2"/>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73025" cap="rnd">
            <a:solidFill>
              <a:srgbClr val="44BC14">
                <a:alpha val="40000"/>
              </a:srgbClr>
            </a:solidFill>
            <a:round/>
          </a:ln>
          <a:effectLst/>
        </c:spPr>
        <c:marker>
          <c:symbol val="none"/>
        </c:marker>
        <c:dLbl>
          <c:idx val="0"/>
          <c:layout>
            <c:manualLayout>
              <c:x val="-8.2924681883119036E-2"/>
              <c:y val="-0.12668533100029164"/>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73025" cap="rnd">
            <a:solidFill>
              <a:srgbClr val="44BC14">
                <a:alpha val="40000"/>
              </a:srgbClr>
            </a:solidFill>
            <a:round/>
          </a:ln>
          <a:effectLst/>
        </c:spPr>
        <c:marker>
          <c:symbol val="none"/>
        </c:marker>
        <c:dLbl>
          <c:idx val="0"/>
          <c:layout>
            <c:manualLayout>
              <c:x val="-8.5561812684806809E-2"/>
              <c:y val="-0.13409273840769903"/>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73025" cap="rnd">
            <a:solidFill>
              <a:srgbClr val="44BC14">
                <a:alpha val="40000"/>
              </a:srgbClr>
            </a:solidFill>
            <a:round/>
          </a:ln>
          <a:effectLst/>
        </c:spPr>
        <c:marker>
          <c:symbol val="none"/>
        </c:marker>
        <c:dLbl>
          <c:idx val="0"/>
          <c:layout>
            <c:manualLayout>
              <c:x val="-9.6693679048253113E-17"/>
              <c:y val="-0.11927792359288422"/>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73025" cap="rnd">
              <a:solidFill>
                <a:srgbClr val="44BC14">
                  <a:alpha val="40000"/>
                </a:srgbClr>
              </a:solidFill>
              <a:round/>
            </a:ln>
            <a:effectLst/>
          </c:spPr>
          <c:marker>
            <c:symbol val="none"/>
          </c:marker>
          <c:dPt>
            <c:idx val="4"/>
            <c:marker>
              <c:symbol val="none"/>
            </c:marker>
            <c:bubble3D val="0"/>
            <c:spPr>
              <a:ln w="73025" cap="rnd">
                <a:solidFill>
                  <a:srgbClr val="44BC14">
                    <a:alpha val="40000"/>
                  </a:srgbClr>
                </a:solidFill>
                <a:round/>
              </a:ln>
              <a:effectLst/>
            </c:spPr>
            <c:extLst>
              <c:ext xmlns:c16="http://schemas.microsoft.com/office/drawing/2014/chart" uri="{C3380CC4-5D6E-409C-BE32-E72D297353CC}">
                <c16:uniqueId val="{00000001-8E40-424D-8ED0-712AC40A1BE6}"/>
              </c:ext>
            </c:extLst>
          </c:dPt>
          <c:dPt>
            <c:idx val="5"/>
            <c:marker>
              <c:symbol val="none"/>
            </c:marker>
            <c:bubble3D val="0"/>
            <c:spPr>
              <a:ln w="73025" cap="rnd">
                <a:solidFill>
                  <a:srgbClr val="44BC14">
                    <a:alpha val="40000"/>
                  </a:srgbClr>
                </a:solidFill>
                <a:round/>
              </a:ln>
              <a:effectLst/>
            </c:spPr>
            <c:extLst>
              <c:ext xmlns:c16="http://schemas.microsoft.com/office/drawing/2014/chart" uri="{C3380CC4-5D6E-409C-BE32-E72D297353CC}">
                <c16:uniqueId val="{00000000-7BB4-4F3A-93E8-CBFAA44724C3}"/>
              </c:ext>
            </c:extLst>
          </c:dPt>
          <c:dPt>
            <c:idx val="7"/>
            <c:marker>
              <c:symbol val="none"/>
            </c:marker>
            <c:bubble3D val="0"/>
            <c:spPr>
              <a:ln w="73025" cap="rnd">
                <a:solidFill>
                  <a:srgbClr val="44BC14">
                    <a:alpha val="40000"/>
                  </a:srgbClr>
                </a:solidFill>
                <a:round/>
              </a:ln>
              <a:effectLst/>
            </c:spPr>
            <c:extLst>
              <c:ext xmlns:c16="http://schemas.microsoft.com/office/drawing/2014/chart" uri="{C3380CC4-5D6E-409C-BE32-E72D297353CC}">
                <c16:uniqueId val="{00000001-7BB4-4F3A-93E8-CBFAA44724C3}"/>
              </c:ext>
            </c:extLst>
          </c:dPt>
          <c:dPt>
            <c:idx val="11"/>
            <c:marker>
              <c:symbol val="none"/>
            </c:marker>
            <c:bubble3D val="0"/>
            <c:spPr>
              <a:ln w="73025" cap="rnd">
                <a:solidFill>
                  <a:srgbClr val="44BC14">
                    <a:alpha val="40000"/>
                  </a:srgbClr>
                </a:solidFill>
                <a:round/>
              </a:ln>
              <a:effectLst/>
            </c:spPr>
            <c:extLst>
              <c:ext xmlns:c16="http://schemas.microsoft.com/office/drawing/2014/chart" uri="{C3380CC4-5D6E-409C-BE32-E72D297353CC}">
                <c16:uniqueId val="{00000002-7BB4-4F3A-93E8-CBFAA44724C3}"/>
              </c:ext>
            </c:extLst>
          </c:dPt>
          <c:dLbls>
            <c:dLbl>
              <c:idx val="4"/>
              <c:layout>
                <c:manualLayout>
                  <c:x val="-0.15881466161666499"/>
                  <c:y val="-6.9205599300087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40-424D-8ED0-712AC40A1BE6}"/>
                </c:ext>
              </c:extLst>
            </c:dLbl>
            <c:dLbl>
              <c:idx val="5"/>
              <c:layout>
                <c:manualLayout>
                  <c:x val="-8.2924681883119036E-2"/>
                  <c:y val="-0.126685331000291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B4-4F3A-93E8-CBFAA44724C3}"/>
                </c:ext>
              </c:extLst>
            </c:dLbl>
            <c:dLbl>
              <c:idx val="7"/>
              <c:layout>
                <c:manualLayout>
                  <c:x val="-8.5561812684806809E-2"/>
                  <c:y val="-0.134092738407699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B4-4F3A-93E8-CBFAA44724C3}"/>
                </c:ext>
              </c:extLst>
            </c:dLbl>
            <c:dLbl>
              <c:idx val="11"/>
              <c:layout>
                <c:manualLayout>
                  <c:x val="-9.6693679048253113E-17"/>
                  <c:y val="-0.119277923592884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B4-4F3A-93E8-CBFAA44724C3}"/>
                </c:ext>
              </c:extLst>
            </c:dLbl>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Month!$B$4:$B$16</c:f>
              <c:numCache>
                <c:formatCode>General</c:formatCode>
                <c:ptCount val="12"/>
                <c:pt idx="0">
                  <c:v>1703571.8499999999</c:v>
                </c:pt>
                <c:pt idx="1">
                  <c:v>2374438.7999999993</c:v>
                </c:pt>
                <c:pt idx="2">
                  <c:v>858904.15</c:v>
                </c:pt>
                <c:pt idx="3">
                  <c:v>1214084.3499999999</c:v>
                </c:pt>
                <c:pt idx="4">
                  <c:v>2811452.3499999996</c:v>
                </c:pt>
                <c:pt idx="5">
                  <c:v>2498378.6499999994</c:v>
                </c:pt>
                <c:pt idx="6">
                  <c:v>1982858.5</c:v>
                </c:pt>
                <c:pt idx="7">
                  <c:v>2455951.4999999995</c:v>
                </c:pt>
                <c:pt idx="8">
                  <c:v>2170156.2000000002</c:v>
                </c:pt>
                <c:pt idx="9">
                  <c:v>2790785.9499999997</c:v>
                </c:pt>
                <c:pt idx="10">
                  <c:v>1990042.0500000003</c:v>
                </c:pt>
                <c:pt idx="11">
                  <c:v>2322720.3499999996</c:v>
                </c:pt>
              </c:numCache>
            </c:numRef>
          </c:val>
          <c:smooth val="0"/>
          <c:extLst>
            <c:ext xmlns:c16="http://schemas.microsoft.com/office/drawing/2014/chart" uri="{C3380CC4-5D6E-409C-BE32-E72D297353CC}">
              <c16:uniqueId val="{00000000-8E40-424D-8ED0-712AC40A1BE6}"/>
            </c:ext>
          </c:extLst>
        </c:ser>
        <c:dLbls>
          <c:dLblPos val="t"/>
          <c:showLegendKey val="0"/>
          <c:showVal val="1"/>
          <c:showCatName val="0"/>
          <c:showSerName val="0"/>
          <c:showPercent val="0"/>
          <c:showBubbleSize val="0"/>
        </c:dLbls>
        <c:smooth val="0"/>
        <c:axId val="894080528"/>
        <c:axId val="897722384"/>
      </c:lineChart>
      <c:catAx>
        <c:axId val="8940805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97722384"/>
        <c:crosses val="autoZero"/>
        <c:auto val="1"/>
        <c:lblAlgn val="ctr"/>
        <c:lblOffset val="100"/>
        <c:noMultiLvlLbl val="0"/>
      </c:catAx>
      <c:valAx>
        <c:axId val="897722384"/>
        <c:scaling>
          <c:orientation val="minMax"/>
        </c:scaling>
        <c:delete val="1"/>
        <c:axPos val="l"/>
        <c:numFmt formatCode="General" sourceLinked="1"/>
        <c:majorTickMark val="none"/>
        <c:minorTickMark val="none"/>
        <c:tickLblPos val="nextTo"/>
        <c:crossAx val="89408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[company_data.xlsx]Salesperson!PivotTable1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alpha val="92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bg2">
                  <a:lumMod val="50000"/>
                </a:schemeClr>
              </a:gs>
              <a:gs pos="100000">
                <a:schemeClr val="bg2">
                  <a:lumMod val="9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Salesperson!$C$3</c:f>
              <c:strCache>
                <c:ptCount val="1"/>
                <c:pt idx="0">
                  <c:v>Sum of Profit</c:v>
                </c:pt>
              </c:strCache>
            </c:strRef>
          </c:tx>
          <c:spPr>
            <a:solidFill>
              <a:schemeClr val="accent3">
                <a:lumMod val="75000"/>
                <a:alpha val="92000"/>
              </a:schemeClr>
            </a:solidFill>
            <a:ln>
              <a:noFill/>
            </a:ln>
            <a:effectLst/>
          </c:spPr>
          <c:cat>
            <c:strRef>
              <c:f>Salesperson!$A$4:$A$12</c:f>
              <c:strCache>
                <c:ptCount val="8"/>
                <c:pt idx="0">
                  <c:v>Amit</c:v>
                </c:pt>
                <c:pt idx="1">
                  <c:v>Arjun</c:v>
                </c:pt>
                <c:pt idx="2">
                  <c:v>Neha</c:v>
                </c:pt>
                <c:pt idx="3">
                  <c:v>Pooja</c:v>
                </c:pt>
                <c:pt idx="4">
                  <c:v>Priya</c:v>
                </c:pt>
                <c:pt idx="5">
                  <c:v>Rahul</c:v>
                </c:pt>
                <c:pt idx="6">
                  <c:v>Sneha</c:v>
                </c:pt>
                <c:pt idx="7">
                  <c:v>Vikas</c:v>
                </c:pt>
              </c:strCache>
            </c:strRef>
          </c:cat>
          <c:val>
            <c:numRef>
              <c:f>Salesperson!$C$4:$C$12</c:f>
              <c:numCache>
                <c:formatCode>General</c:formatCode>
                <c:ptCount val="8"/>
                <c:pt idx="0">
                  <c:v>1314195.3299999998</c:v>
                </c:pt>
                <c:pt idx="1">
                  <c:v>1132752.4499999997</c:v>
                </c:pt>
                <c:pt idx="2">
                  <c:v>920456.41999999993</c:v>
                </c:pt>
                <c:pt idx="3">
                  <c:v>727799.93000000017</c:v>
                </c:pt>
                <c:pt idx="4">
                  <c:v>756148.47</c:v>
                </c:pt>
                <c:pt idx="5">
                  <c:v>943976.1100000001</c:v>
                </c:pt>
                <c:pt idx="6">
                  <c:v>718907.4700000002</c:v>
                </c:pt>
                <c:pt idx="7">
                  <c:v>680077.90999999992</c:v>
                </c:pt>
              </c:numCache>
            </c:numRef>
          </c:val>
          <c:extLst>
            <c:ext xmlns:c16="http://schemas.microsoft.com/office/drawing/2014/chart" uri="{C3380CC4-5D6E-409C-BE32-E72D297353CC}">
              <c16:uniqueId val="{00000000-78A7-4C9B-B69D-7D450446272F}"/>
            </c:ext>
          </c:extLst>
        </c:ser>
        <c:dLbls>
          <c:showLegendKey val="0"/>
          <c:showVal val="0"/>
          <c:showCatName val="0"/>
          <c:showSerName val="0"/>
          <c:showPercent val="0"/>
          <c:showBubbleSize val="0"/>
        </c:dLbls>
        <c:axId val="2066914783"/>
        <c:axId val="1988510383"/>
      </c:areaChart>
      <c:barChart>
        <c:barDir val="col"/>
        <c:grouping val="clustered"/>
        <c:varyColors val="0"/>
        <c:ser>
          <c:idx val="0"/>
          <c:order val="0"/>
          <c:tx>
            <c:strRef>
              <c:f>Salesperson!$B$3</c:f>
              <c:strCache>
                <c:ptCount val="1"/>
                <c:pt idx="0">
                  <c:v>Sum of Revenue</c:v>
                </c:pt>
              </c:strCache>
            </c:strRef>
          </c:tx>
          <c:spPr>
            <a:gradFill>
              <a:gsLst>
                <a:gs pos="0">
                  <a:schemeClr val="bg2">
                    <a:lumMod val="50000"/>
                  </a:schemeClr>
                </a:gs>
                <a:gs pos="100000">
                  <a:schemeClr val="bg2">
                    <a:lumMod val="90000"/>
                  </a:schemeClr>
                </a:gs>
              </a:gsLst>
              <a:lin ang="5400000" scaled="1"/>
            </a:gradFill>
            <a:ln>
              <a:noFill/>
            </a:ln>
            <a:effectLst/>
          </c:spPr>
          <c:invertIfNegative val="0"/>
          <c:cat>
            <c:strRef>
              <c:f>Salesperson!$A$4:$A$12</c:f>
              <c:strCache>
                <c:ptCount val="8"/>
                <c:pt idx="0">
                  <c:v>Amit</c:v>
                </c:pt>
                <c:pt idx="1">
                  <c:v>Arjun</c:v>
                </c:pt>
                <c:pt idx="2">
                  <c:v>Neha</c:v>
                </c:pt>
                <c:pt idx="3">
                  <c:v>Pooja</c:v>
                </c:pt>
                <c:pt idx="4">
                  <c:v>Priya</c:v>
                </c:pt>
                <c:pt idx="5">
                  <c:v>Rahul</c:v>
                </c:pt>
                <c:pt idx="6">
                  <c:v>Sneha</c:v>
                </c:pt>
                <c:pt idx="7">
                  <c:v>Vikas</c:v>
                </c:pt>
              </c:strCache>
            </c:strRef>
          </c:cat>
          <c:val>
            <c:numRef>
              <c:f>Salesperson!$B$4:$B$12</c:f>
              <c:numCache>
                <c:formatCode>General</c:formatCode>
                <c:ptCount val="8"/>
                <c:pt idx="0">
                  <c:v>4480470.0999999987</c:v>
                </c:pt>
                <c:pt idx="1">
                  <c:v>3686327.0499999993</c:v>
                </c:pt>
                <c:pt idx="2">
                  <c:v>3133472.3000000003</c:v>
                </c:pt>
                <c:pt idx="3">
                  <c:v>2668165.35</c:v>
                </c:pt>
                <c:pt idx="4">
                  <c:v>2659530</c:v>
                </c:pt>
                <c:pt idx="5">
                  <c:v>3324417.3000000003</c:v>
                </c:pt>
                <c:pt idx="6">
                  <c:v>2462735.1</c:v>
                </c:pt>
                <c:pt idx="7">
                  <c:v>2758227.4999999995</c:v>
                </c:pt>
              </c:numCache>
            </c:numRef>
          </c:val>
          <c:extLst>
            <c:ext xmlns:c16="http://schemas.microsoft.com/office/drawing/2014/chart" uri="{C3380CC4-5D6E-409C-BE32-E72D297353CC}">
              <c16:uniqueId val="{00000001-78A7-4C9B-B69D-7D450446272F}"/>
            </c:ext>
          </c:extLst>
        </c:ser>
        <c:dLbls>
          <c:showLegendKey val="0"/>
          <c:showVal val="0"/>
          <c:showCatName val="0"/>
          <c:showSerName val="0"/>
          <c:showPercent val="0"/>
          <c:showBubbleSize val="0"/>
        </c:dLbls>
        <c:gapWidth val="219"/>
        <c:overlap val="-27"/>
        <c:axId val="2066926383"/>
        <c:axId val="1988523343"/>
      </c:barChart>
      <c:catAx>
        <c:axId val="206691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988510383"/>
        <c:crosses val="autoZero"/>
        <c:auto val="1"/>
        <c:lblAlgn val="ctr"/>
        <c:lblOffset val="100"/>
        <c:noMultiLvlLbl val="0"/>
      </c:catAx>
      <c:valAx>
        <c:axId val="1988510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6914783"/>
        <c:crosses val="autoZero"/>
        <c:crossBetween val="between"/>
      </c:valAx>
      <c:valAx>
        <c:axId val="19885233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66926383"/>
        <c:crosses val="max"/>
        <c:crossBetween val="between"/>
      </c:valAx>
      <c:catAx>
        <c:axId val="2066926383"/>
        <c:scaling>
          <c:orientation val="minMax"/>
        </c:scaling>
        <c:delete val="1"/>
        <c:axPos val="b"/>
        <c:numFmt formatCode="General" sourceLinked="1"/>
        <c:majorTickMark val="out"/>
        <c:minorTickMark val="none"/>
        <c:tickLblPos val="nextTo"/>
        <c:crossAx val="198852334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[company_data.xlsx]Product!PivotTable3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5C323"/>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Product!$B$4</c:f>
              <c:strCache>
                <c:ptCount val="1"/>
                <c:pt idx="0">
                  <c:v>Total</c:v>
                </c:pt>
              </c:strCache>
            </c:strRef>
          </c:tx>
          <c:spPr>
            <a:solidFill>
              <a:srgbClr val="A5C323"/>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Product!$A$5:$A$10</c:f>
              <c:strCache>
                <c:ptCount val="5"/>
                <c:pt idx="0">
                  <c:v>Bookshelf</c:v>
                </c:pt>
                <c:pt idx="1">
                  <c:v>Headphones</c:v>
                </c:pt>
                <c:pt idx="2">
                  <c:v>Laptop</c:v>
                </c:pt>
                <c:pt idx="3">
                  <c:v>Smartphone</c:v>
                </c:pt>
                <c:pt idx="4">
                  <c:v>Tablet</c:v>
                </c:pt>
              </c:strCache>
            </c:strRef>
          </c:cat>
          <c:val>
            <c:numRef>
              <c:f>Product!$B$5:$B$10</c:f>
              <c:numCache>
                <c:formatCode>General</c:formatCode>
                <c:ptCount val="5"/>
                <c:pt idx="0">
                  <c:v>1388575.7500000002</c:v>
                </c:pt>
                <c:pt idx="1">
                  <c:v>3216298.9</c:v>
                </c:pt>
                <c:pt idx="2">
                  <c:v>4355107.4000000004</c:v>
                </c:pt>
                <c:pt idx="3">
                  <c:v>1854419.3499999999</c:v>
                </c:pt>
                <c:pt idx="4">
                  <c:v>5772176.3500000006</c:v>
                </c:pt>
              </c:numCache>
            </c:numRef>
          </c:val>
          <c:extLst>
            <c:ext xmlns:c16="http://schemas.microsoft.com/office/drawing/2014/chart" uri="{C3380CC4-5D6E-409C-BE32-E72D297353CC}">
              <c16:uniqueId val="{00000000-61CD-495F-A678-C0DD8BCFAAB0}"/>
            </c:ext>
          </c:extLst>
        </c:ser>
        <c:dLbls>
          <c:dLblPos val="outEnd"/>
          <c:showLegendKey val="0"/>
          <c:showVal val="1"/>
          <c:showCatName val="0"/>
          <c:showSerName val="0"/>
          <c:showPercent val="0"/>
          <c:showBubbleSize val="0"/>
        </c:dLbls>
        <c:gapWidth val="100"/>
        <c:overlap val="-27"/>
        <c:axId val="443186576"/>
        <c:axId val="290167056"/>
      </c:barChart>
      <c:catAx>
        <c:axId val="4431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ptos Black" panose="020B0004020202020204" pitchFamily="34" charset="0"/>
                <a:ea typeface="+mn-ea"/>
                <a:cs typeface="+mn-cs"/>
              </a:defRPr>
            </a:pPr>
            <a:endParaRPr lang="en-US"/>
          </a:p>
        </c:txPr>
        <c:crossAx val="290167056"/>
        <c:crosses val="autoZero"/>
        <c:auto val="1"/>
        <c:lblAlgn val="ctr"/>
        <c:lblOffset val="100"/>
        <c:noMultiLvlLbl val="0"/>
      </c:catAx>
      <c:valAx>
        <c:axId val="290167056"/>
        <c:scaling>
          <c:orientation val="minMax"/>
        </c:scaling>
        <c:delete val="1"/>
        <c:axPos val="l"/>
        <c:numFmt formatCode="General" sourceLinked="1"/>
        <c:majorTickMark val="none"/>
        <c:minorTickMark val="none"/>
        <c:tickLblPos val="nextTo"/>
        <c:crossAx val="44318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[company_data.xlsx]Category bar!PivotTable1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5C323"/>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bar'!$B$4</c:f>
              <c:strCache>
                <c:ptCount val="1"/>
                <c:pt idx="0">
                  <c:v>Total</c:v>
                </c:pt>
              </c:strCache>
            </c:strRef>
          </c:tx>
          <c:spPr>
            <a:solidFill>
              <a:srgbClr val="A5C323"/>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bar'!$A$5:$A$9</c:f>
              <c:strCache>
                <c:ptCount val="4"/>
                <c:pt idx="0">
                  <c:v>Clothing</c:v>
                </c:pt>
                <c:pt idx="1">
                  <c:v>Electronics</c:v>
                </c:pt>
                <c:pt idx="2">
                  <c:v>Furniture</c:v>
                </c:pt>
                <c:pt idx="3">
                  <c:v>Home &amp; Kitchen</c:v>
                </c:pt>
              </c:strCache>
            </c:strRef>
          </c:cat>
          <c:val>
            <c:numRef>
              <c:f>'Category bar'!$B$5:$B$9</c:f>
              <c:numCache>
                <c:formatCode>General</c:formatCode>
                <c:ptCount val="4"/>
                <c:pt idx="0">
                  <c:v>1751722.6000000003</c:v>
                </c:pt>
                <c:pt idx="1">
                  <c:v>15259485.999999996</c:v>
                </c:pt>
                <c:pt idx="2">
                  <c:v>5301569.2499999972</c:v>
                </c:pt>
                <c:pt idx="3">
                  <c:v>2860566.8499999996</c:v>
                </c:pt>
              </c:numCache>
            </c:numRef>
          </c:val>
          <c:extLst>
            <c:ext xmlns:c16="http://schemas.microsoft.com/office/drawing/2014/chart" uri="{C3380CC4-5D6E-409C-BE32-E72D297353CC}">
              <c16:uniqueId val="{00000000-B382-442A-8559-4AFDC2FD1C77}"/>
            </c:ext>
          </c:extLst>
        </c:ser>
        <c:dLbls>
          <c:dLblPos val="outEnd"/>
          <c:showLegendKey val="0"/>
          <c:showVal val="1"/>
          <c:showCatName val="0"/>
          <c:showSerName val="0"/>
          <c:showPercent val="0"/>
          <c:showBubbleSize val="0"/>
        </c:dLbls>
        <c:gapWidth val="97"/>
        <c:axId val="2066920351"/>
        <c:axId val="1988583823"/>
      </c:barChart>
      <c:catAx>
        <c:axId val="206692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ptos Black" panose="020B0004020202020204" pitchFamily="34" charset="0"/>
                <a:ea typeface="+mn-ea"/>
                <a:cs typeface="+mn-cs"/>
              </a:defRPr>
            </a:pPr>
            <a:endParaRPr lang="en-US"/>
          </a:p>
        </c:txPr>
        <c:crossAx val="1988583823"/>
        <c:crosses val="autoZero"/>
        <c:auto val="1"/>
        <c:lblAlgn val="ctr"/>
        <c:lblOffset val="100"/>
        <c:noMultiLvlLbl val="0"/>
      </c:catAx>
      <c:valAx>
        <c:axId val="1988583823"/>
        <c:scaling>
          <c:orientation val="minMax"/>
        </c:scaling>
        <c:delete val="1"/>
        <c:axPos val="b"/>
        <c:numFmt formatCode="General" sourceLinked="1"/>
        <c:majorTickMark val="none"/>
        <c:minorTickMark val="none"/>
        <c:tickLblPos val="nextTo"/>
        <c:crossAx val="206692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[company_data.xlsx]Customer!PivotTable3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EBE06"/>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10233067713383"/>
          <c:y val="7.3333333333333334E-2"/>
          <c:w val="0.75833510676030369"/>
          <c:h val="0.85333333333333339"/>
        </c:manualLayout>
      </c:layout>
      <c:barChart>
        <c:barDir val="bar"/>
        <c:grouping val="clustered"/>
        <c:varyColors val="0"/>
        <c:ser>
          <c:idx val="0"/>
          <c:order val="0"/>
          <c:tx>
            <c:strRef>
              <c:f>Customer!$E$3</c:f>
              <c:strCache>
                <c:ptCount val="1"/>
                <c:pt idx="0">
                  <c:v>Total</c:v>
                </c:pt>
              </c:strCache>
            </c:strRef>
          </c:tx>
          <c:spPr>
            <a:solidFill>
              <a:srgbClr val="BEBE06"/>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Customer!$D$4:$D$9</c:f>
              <c:strCache>
                <c:ptCount val="5"/>
                <c:pt idx="0">
                  <c:v>Customer_29</c:v>
                </c:pt>
                <c:pt idx="1">
                  <c:v>Customer_43</c:v>
                </c:pt>
                <c:pt idx="2">
                  <c:v>Customer_55</c:v>
                </c:pt>
                <c:pt idx="3">
                  <c:v>Customer_61</c:v>
                </c:pt>
                <c:pt idx="4">
                  <c:v>Customer_96</c:v>
                </c:pt>
              </c:strCache>
            </c:strRef>
          </c:cat>
          <c:val>
            <c:numRef>
              <c:f>Customer!$E$4:$E$9</c:f>
              <c:numCache>
                <c:formatCode>General</c:formatCode>
                <c:ptCount val="5"/>
                <c:pt idx="0">
                  <c:v>322524.20999999996</c:v>
                </c:pt>
                <c:pt idx="1">
                  <c:v>211991.34000000003</c:v>
                </c:pt>
                <c:pt idx="2">
                  <c:v>178423.25</c:v>
                </c:pt>
                <c:pt idx="3">
                  <c:v>285716.06</c:v>
                </c:pt>
                <c:pt idx="4">
                  <c:v>254149.25</c:v>
                </c:pt>
              </c:numCache>
            </c:numRef>
          </c:val>
          <c:extLst>
            <c:ext xmlns:c16="http://schemas.microsoft.com/office/drawing/2014/chart" uri="{C3380CC4-5D6E-409C-BE32-E72D297353CC}">
              <c16:uniqueId val="{00000000-C56E-40AC-97B9-F5F7171F5D62}"/>
            </c:ext>
          </c:extLst>
        </c:ser>
        <c:dLbls>
          <c:dLblPos val="outEnd"/>
          <c:showLegendKey val="0"/>
          <c:showVal val="1"/>
          <c:showCatName val="0"/>
          <c:showSerName val="0"/>
          <c:showPercent val="0"/>
          <c:showBubbleSize val="0"/>
        </c:dLbls>
        <c:gapWidth val="110"/>
        <c:axId val="2066932879"/>
        <c:axId val="1988636143"/>
      </c:barChart>
      <c:catAx>
        <c:axId val="206693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ptos Black" panose="020B0004020202020204" pitchFamily="34" charset="0"/>
                <a:ea typeface="+mn-ea"/>
                <a:cs typeface="+mn-cs"/>
              </a:defRPr>
            </a:pPr>
            <a:endParaRPr lang="en-US"/>
          </a:p>
        </c:txPr>
        <c:crossAx val="1988636143"/>
        <c:crosses val="autoZero"/>
        <c:auto val="1"/>
        <c:lblAlgn val="ctr"/>
        <c:lblOffset val="100"/>
        <c:noMultiLvlLbl val="0"/>
      </c:catAx>
      <c:valAx>
        <c:axId val="1988636143"/>
        <c:scaling>
          <c:orientation val="minMax"/>
        </c:scaling>
        <c:delete val="1"/>
        <c:axPos val="b"/>
        <c:numFmt formatCode="General" sourceLinked="1"/>
        <c:majorTickMark val="none"/>
        <c:minorTickMark val="none"/>
        <c:tickLblPos val="nextTo"/>
        <c:crossAx val="206693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[company_data.xlsx]Region!PivotTable1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BEBE06"/>
          </a:solidFill>
          <a:ln w="19050">
            <a:solidFill>
              <a:schemeClr val="lt1"/>
            </a:solid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EBE06"/>
          </a:solidFill>
          <a:ln w="19050">
            <a:solidFill>
              <a:schemeClr val="lt1"/>
            </a:solidFill>
          </a:ln>
          <a:effectLst/>
        </c:spPr>
        <c:dLbl>
          <c:idx val="0"/>
          <c:layout>
            <c:manualLayout>
              <c:x val="0.1162280701754386"/>
              <c:y val="-9.5238095238095233E-2"/>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38214"/>
          </a:solidFill>
          <a:ln w="19050">
            <a:solidFill>
              <a:schemeClr val="lt1"/>
            </a:solidFill>
          </a:ln>
          <a:effectLst/>
        </c:spPr>
        <c:dLbl>
          <c:idx val="0"/>
          <c:layout>
            <c:manualLayout>
              <c:x val="0.10719754977029096"/>
              <c:y val="0.13554216867469879"/>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w="19050">
            <a:solidFill>
              <a:schemeClr val="lt1"/>
            </a:solidFill>
          </a:ln>
          <a:effectLst/>
        </c:spPr>
        <c:dLbl>
          <c:idx val="0"/>
          <c:layout>
            <c:manualLayout>
              <c:x val="-0.11995916283818274"/>
              <c:y val="0.12048192771084347"/>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dLbl>
          <c:idx val="0"/>
          <c:layout>
            <c:manualLayout>
              <c:x val="-0.12506380806533945"/>
              <c:y val="-6.5261044176706834E-2"/>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ptos Black"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Region!$B$3</c:f>
              <c:strCache>
                <c:ptCount val="1"/>
                <c:pt idx="0">
                  <c:v>Total</c:v>
                </c:pt>
              </c:strCache>
            </c:strRef>
          </c:tx>
          <c:spPr>
            <a:solidFill>
              <a:srgbClr val="BEBE06"/>
            </a:solidFill>
          </c:spPr>
          <c:explosion val="3"/>
          <c:dPt>
            <c:idx val="0"/>
            <c:bubble3D val="0"/>
            <c:spPr>
              <a:solidFill>
                <a:srgbClr val="BEBE06"/>
              </a:solidFill>
              <a:ln w="19050">
                <a:solidFill>
                  <a:schemeClr val="lt1"/>
                </a:solidFill>
              </a:ln>
              <a:effectLst/>
            </c:spPr>
            <c:extLst>
              <c:ext xmlns:c16="http://schemas.microsoft.com/office/drawing/2014/chart" uri="{C3380CC4-5D6E-409C-BE32-E72D297353CC}">
                <c16:uniqueId val="{00000001-0E9C-4FFA-BAED-B75E85278F71}"/>
              </c:ext>
            </c:extLst>
          </c:dPt>
          <c:dPt>
            <c:idx val="1"/>
            <c:bubble3D val="0"/>
            <c:spPr>
              <a:solidFill>
                <a:srgbClr val="338214"/>
              </a:solidFill>
              <a:ln w="19050">
                <a:solidFill>
                  <a:schemeClr val="lt1"/>
                </a:solidFill>
              </a:ln>
              <a:effectLst/>
            </c:spPr>
            <c:extLst>
              <c:ext xmlns:c16="http://schemas.microsoft.com/office/drawing/2014/chart" uri="{C3380CC4-5D6E-409C-BE32-E72D297353CC}">
                <c16:uniqueId val="{00000003-0E9C-4FFA-BAED-B75E85278F71}"/>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0E9C-4FFA-BAED-B75E85278F71}"/>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0E9C-4FFA-BAED-B75E85278F71}"/>
              </c:ext>
            </c:extLst>
          </c:dPt>
          <c:dLbls>
            <c:dLbl>
              <c:idx val="0"/>
              <c:layout>
                <c:manualLayout>
                  <c:x val="0.1162280701754386"/>
                  <c:y val="-9.5238095238095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9C-4FFA-BAED-B75E85278F71}"/>
                </c:ext>
              </c:extLst>
            </c:dLbl>
            <c:dLbl>
              <c:idx val="1"/>
              <c:layout>
                <c:manualLayout>
                  <c:x val="0.10719754977029096"/>
                  <c:y val="0.13554216867469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9C-4FFA-BAED-B75E85278F71}"/>
                </c:ext>
              </c:extLst>
            </c:dLbl>
            <c:dLbl>
              <c:idx val="2"/>
              <c:layout>
                <c:manualLayout>
                  <c:x val="-0.11995916283818274"/>
                  <c:y val="0.12048192771084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9C-4FFA-BAED-B75E85278F71}"/>
                </c:ext>
              </c:extLst>
            </c:dLbl>
            <c:dLbl>
              <c:idx val="3"/>
              <c:layout>
                <c:manualLayout>
                  <c:x val="-0.12506380806533945"/>
                  <c:y val="-6.52610441767068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9C-4FFA-BAED-B75E85278F71}"/>
                </c:ext>
              </c:extLst>
            </c:dLbl>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ptos Black"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Region!$A$4:$A$8</c:f>
              <c:strCache>
                <c:ptCount val="4"/>
                <c:pt idx="0">
                  <c:v>East</c:v>
                </c:pt>
                <c:pt idx="1">
                  <c:v>North</c:v>
                </c:pt>
                <c:pt idx="2">
                  <c:v>South</c:v>
                </c:pt>
                <c:pt idx="3">
                  <c:v>West</c:v>
                </c:pt>
              </c:strCache>
            </c:strRef>
          </c:cat>
          <c:val>
            <c:numRef>
              <c:f>Region!$B$4:$B$8</c:f>
              <c:numCache>
                <c:formatCode>General</c:formatCode>
                <c:ptCount val="4"/>
                <c:pt idx="0">
                  <c:v>2054425.0199999996</c:v>
                </c:pt>
                <c:pt idx="1">
                  <c:v>1762126.4000000006</c:v>
                </c:pt>
                <c:pt idx="2">
                  <c:v>1797172.1299999997</c:v>
                </c:pt>
                <c:pt idx="3">
                  <c:v>1580590.5399999993</c:v>
                </c:pt>
              </c:numCache>
            </c:numRef>
          </c:val>
          <c:extLst>
            <c:ext xmlns:c16="http://schemas.microsoft.com/office/drawing/2014/chart" uri="{C3380CC4-5D6E-409C-BE32-E72D297353CC}">
              <c16:uniqueId val="{00000008-0E9C-4FFA-BAED-B75E85278F7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ptos Black"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[company_data.xlsx]Category bar!PivotTable1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bar'!$B$4</c:f>
              <c:strCache>
                <c:ptCount val="1"/>
                <c:pt idx="0">
                  <c:v>Total</c:v>
                </c:pt>
              </c:strCache>
            </c:strRef>
          </c:tx>
          <c:spPr>
            <a:solidFill>
              <a:schemeClr val="accent1"/>
            </a:solidFill>
            <a:ln>
              <a:noFill/>
            </a:ln>
            <a:effectLst/>
          </c:spPr>
          <c:invertIfNegative val="0"/>
          <c:cat>
            <c:strRef>
              <c:f>'Category bar'!$A$5:$A$9</c:f>
              <c:strCache>
                <c:ptCount val="4"/>
                <c:pt idx="0">
                  <c:v>Clothing</c:v>
                </c:pt>
                <c:pt idx="1">
                  <c:v>Electronics</c:v>
                </c:pt>
                <c:pt idx="2">
                  <c:v>Furniture</c:v>
                </c:pt>
                <c:pt idx="3">
                  <c:v>Home &amp; Kitchen</c:v>
                </c:pt>
              </c:strCache>
            </c:strRef>
          </c:cat>
          <c:val>
            <c:numRef>
              <c:f>'Category bar'!$B$5:$B$9</c:f>
              <c:numCache>
                <c:formatCode>General</c:formatCode>
                <c:ptCount val="4"/>
                <c:pt idx="0">
                  <c:v>1751722.6000000003</c:v>
                </c:pt>
                <c:pt idx="1">
                  <c:v>15259485.999999996</c:v>
                </c:pt>
                <c:pt idx="2">
                  <c:v>5301569.2499999972</c:v>
                </c:pt>
                <c:pt idx="3">
                  <c:v>2860566.8499999996</c:v>
                </c:pt>
              </c:numCache>
            </c:numRef>
          </c:val>
          <c:extLst>
            <c:ext xmlns:c16="http://schemas.microsoft.com/office/drawing/2014/chart" uri="{C3380CC4-5D6E-409C-BE32-E72D297353CC}">
              <c16:uniqueId val="{00000000-B5F4-47BC-BF83-0976EF90EC8E}"/>
            </c:ext>
          </c:extLst>
        </c:ser>
        <c:dLbls>
          <c:showLegendKey val="0"/>
          <c:showVal val="0"/>
          <c:showCatName val="0"/>
          <c:showSerName val="0"/>
          <c:showPercent val="0"/>
          <c:showBubbleSize val="0"/>
        </c:dLbls>
        <c:gapWidth val="182"/>
        <c:axId val="2066920351"/>
        <c:axId val="1988583823"/>
      </c:barChart>
      <c:catAx>
        <c:axId val="206692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83823"/>
        <c:crosses val="autoZero"/>
        <c:auto val="1"/>
        <c:lblAlgn val="ctr"/>
        <c:lblOffset val="100"/>
        <c:noMultiLvlLbl val="0"/>
      </c:catAx>
      <c:valAx>
        <c:axId val="198858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92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[company_data.xlsx]Product!PivotTable3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Product!$B$4</c:f>
              <c:strCache>
                <c:ptCount val="1"/>
                <c:pt idx="0">
                  <c:v>Total</c:v>
                </c:pt>
              </c:strCache>
            </c:strRef>
          </c:tx>
          <c:spPr>
            <a:solidFill>
              <a:schemeClr val="accent1"/>
            </a:solidFill>
            <a:ln>
              <a:noFill/>
            </a:ln>
            <a:effectLst/>
          </c:spPr>
          <c:invertIfNegative val="0"/>
          <c:cat>
            <c:strRef>
              <c:f>Product!$A$5:$A$10</c:f>
              <c:strCache>
                <c:ptCount val="5"/>
                <c:pt idx="0">
                  <c:v>Bookshelf</c:v>
                </c:pt>
                <c:pt idx="1">
                  <c:v>Headphones</c:v>
                </c:pt>
                <c:pt idx="2">
                  <c:v>Laptop</c:v>
                </c:pt>
                <c:pt idx="3">
                  <c:v>Smartphone</c:v>
                </c:pt>
                <c:pt idx="4">
                  <c:v>Tablet</c:v>
                </c:pt>
              </c:strCache>
            </c:strRef>
          </c:cat>
          <c:val>
            <c:numRef>
              <c:f>Product!$B$5:$B$10</c:f>
              <c:numCache>
                <c:formatCode>General</c:formatCode>
                <c:ptCount val="5"/>
                <c:pt idx="0">
                  <c:v>1388575.7500000002</c:v>
                </c:pt>
                <c:pt idx="1">
                  <c:v>3216298.9</c:v>
                </c:pt>
                <c:pt idx="2">
                  <c:v>4355107.4000000004</c:v>
                </c:pt>
                <c:pt idx="3">
                  <c:v>1854419.3499999999</c:v>
                </c:pt>
                <c:pt idx="4">
                  <c:v>5772176.3500000006</c:v>
                </c:pt>
              </c:numCache>
            </c:numRef>
          </c:val>
          <c:extLst>
            <c:ext xmlns:c16="http://schemas.microsoft.com/office/drawing/2014/chart" uri="{C3380CC4-5D6E-409C-BE32-E72D297353CC}">
              <c16:uniqueId val="{00000000-6E63-4E67-AAB5-C3FA172EB250}"/>
            </c:ext>
          </c:extLst>
        </c:ser>
        <c:dLbls>
          <c:showLegendKey val="0"/>
          <c:showVal val="0"/>
          <c:showCatName val="0"/>
          <c:showSerName val="0"/>
          <c:showPercent val="0"/>
          <c:showBubbleSize val="0"/>
        </c:dLbls>
        <c:gapWidth val="219"/>
        <c:overlap val="-27"/>
        <c:axId val="443186576"/>
        <c:axId val="290167056"/>
      </c:barChart>
      <c:catAx>
        <c:axId val="4431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67056"/>
        <c:crosses val="autoZero"/>
        <c:auto val="1"/>
        <c:lblAlgn val="ctr"/>
        <c:lblOffset val="100"/>
        <c:noMultiLvlLbl val="0"/>
      </c:catAx>
      <c:valAx>
        <c:axId val="29016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8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[company_data.xlsx]Region!PivotTable1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53-4F3A-B273-308EE10AF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53-4F3A-B273-308EE10AF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53-4F3A-B273-308EE10AF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53-4F3A-B273-308EE10AF9FD}"/>
              </c:ext>
            </c:extLst>
          </c:dPt>
          <c:cat>
            <c:strRef>
              <c:f>Region!$A$4:$A$8</c:f>
              <c:strCache>
                <c:ptCount val="4"/>
                <c:pt idx="0">
                  <c:v>East</c:v>
                </c:pt>
                <c:pt idx="1">
                  <c:v>North</c:v>
                </c:pt>
                <c:pt idx="2">
                  <c:v>South</c:v>
                </c:pt>
                <c:pt idx="3">
                  <c:v>West</c:v>
                </c:pt>
              </c:strCache>
            </c:strRef>
          </c:cat>
          <c:val>
            <c:numRef>
              <c:f>Region!$B$4:$B$8</c:f>
              <c:numCache>
                <c:formatCode>General</c:formatCode>
                <c:ptCount val="4"/>
                <c:pt idx="0">
                  <c:v>2054425.0199999996</c:v>
                </c:pt>
                <c:pt idx="1">
                  <c:v>1762126.4000000006</c:v>
                </c:pt>
                <c:pt idx="2">
                  <c:v>1797172.1299999997</c:v>
                </c:pt>
                <c:pt idx="3">
                  <c:v>1580590.5399999993</c:v>
                </c:pt>
              </c:numCache>
            </c:numRef>
          </c:val>
          <c:extLst>
            <c:ext xmlns:c16="http://schemas.microsoft.com/office/drawing/2014/chart" uri="{C3380CC4-5D6E-409C-BE32-E72D297353CC}">
              <c16:uniqueId val="{00000000-89FA-4E90-BA87-396FBC4D51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[company_data.xlsx]Salesperson!PivotTable1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Salesperson!$C$3</c:f>
              <c:strCache>
                <c:ptCount val="1"/>
                <c:pt idx="0">
                  <c:v>Sum of Profit</c:v>
                </c:pt>
              </c:strCache>
            </c:strRef>
          </c:tx>
          <c:spPr>
            <a:solidFill>
              <a:schemeClr val="accent2"/>
            </a:solidFill>
            <a:ln>
              <a:noFill/>
            </a:ln>
            <a:effectLst/>
          </c:spPr>
          <c:cat>
            <c:strRef>
              <c:f>Salesperson!$A$4:$A$12</c:f>
              <c:strCache>
                <c:ptCount val="8"/>
                <c:pt idx="0">
                  <c:v>Amit</c:v>
                </c:pt>
                <c:pt idx="1">
                  <c:v>Arjun</c:v>
                </c:pt>
                <c:pt idx="2">
                  <c:v>Neha</c:v>
                </c:pt>
                <c:pt idx="3">
                  <c:v>Pooja</c:v>
                </c:pt>
                <c:pt idx="4">
                  <c:v>Priya</c:v>
                </c:pt>
                <c:pt idx="5">
                  <c:v>Rahul</c:v>
                </c:pt>
                <c:pt idx="6">
                  <c:v>Sneha</c:v>
                </c:pt>
                <c:pt idx="7">
                  <c:v>Vikas</c:v>
                </c:pt>
              </c:strCache>
            </c:strRef>
          </c:cat>
          <c:val>
            <c:numRef>
              <c:f>Salesperson!$C$4:$C$12</c:f>
              <c:numCache>
                <c:formatCode>General</c:formatCode>
                <c:ptCount val="8"/>
                <c:pt idx="0">
                  <c:v>1314195.3299999998</c:v>
                </c:pt>
                <c:pt idx="1">
                  <c:v>1132752.4499999997</c:v>
                </c:pt>
                <c:pt idx="2">
                  <c:v>920456.41999999993</c:v>
                </c:pt>
                <c:pt idx="3">
                  <c:v>727799.93000000017</c:v>
                </c:pt>
                <c:pt idx="4">
                  <c:v>756148.47</c:v>
                </c:pt>
                <c:pt idx="5">
                  <c:v>943976.1100000001</c:v>
                </c:pt>
                <c:pt idx="6">
                  <c:v>718907.4700000002</c:v>
                </c:pt>
                <c:pt idx="7">
                  <c:v>680077.90999999992</c:v>
                </c:pt>
              </c:numCache>
            </c:numRef>
          </c:val>
          <c:extLst>
            <c:ext xmlns:c16="http://schemas.microsoft.com/office/drawing/2014/chart" uri="{C3380CC4-5D6E-409C-BE32-E72D297353CC}">
              <c16:uniqueId val="{00000001-08A9-43F5-8451-43048B273878}"/>
            </c:ext>
          </c:extLst>
        </c:ser>
        <c:dLbls>
          <c:showLegendKey val="0"/>
          <c:showVal val="0"/>
          <c:showCatName val="0"/>
          <c:showSerName val="0"/>
          <c:showPercent val="0"/>
          <c:showBubbleSize val="0"/>
        </c:dLbls>
        <c:axId val="2066914783"/>
        <c:axId val="1988510383"/>
      </c:areaChart>
      <c:barChart>
        <c:barDir val="col"/>
        <c:grouping val="clustered"/>
        <c:varyColors val="0"/>
        <c:ser>
          <c:idx val="0"/>
          <c:order val="0"/>
          <c:tx>
            <c:strRef>
              <c:f>Salesperson!$B$3</c:f>
              <c:strCache>
                <c:ptCount val="1"/>
                <c:pt idx="0">
                  <c:v>Sum of Revenue</c:v>
                </c:pt>
              </c:strCache>
            </c:strRef>
          </c:tx>
          <c:spPr>
            <a:solidFill>
              <a:schemeClr val="accent1"/>
            </a:solidFill>
            <a:ln>
              <a:noFill/>
            </a:ln>
            <a:effectLst/>
          </c:spPr>
          <c:invertIfNegative val="0"/>
          <c:cat>
            <c:strRef>
              <c:f>Salesperson!$A$4:$A$12</c:f>
              <c:strCache>
                <c:ptCount val="8"/>
                <c:pt idx="0">
                  <c:v>Amit</c:v>
                </c:pt>
                <c:pt idx="1">
                  <c:v>Arjun</c:v>
                </c:pt>
                <c:pt idx="2">
                  <c:v>Neha</c:v>
                </c:pt>
                <c:pt idx="3">
                  <c:v>Pooja</c:v>
                </c:pt>
                <c:pt idx="4">
                  <c:v>Priya</c:v>
                </c:pt>
                <c:pt idx="5">
                  <c:v>Rahul</c:v>
                </c:pt>
                <c:pt idx="6">
                  <c:v>Sneha</c:v>
                </c:pt>
                <c:pt idx="7">
                  <c:v>Vikas</c:v>
                </c:pt>
              </c:strCache>
            </c:strRef>
          </c:cat>
          <c:val>
            <c:numRef>
              <c:f>Salesperson!$B$4:$B$12</c:f>
              <c:numCache>
                <c:formatCode>General</c:formatCode>
                <c:ptCount val="8"/>
                <c:pt idx="0">
                  <c:v>4480470.0999999987</c:v>
                </c:pt>
                <c:pt idx="1">
                  <c:v>3686327.0499999993</c:v>
                </c:pt>
                <c:pt idx="2">
                  <c:v>3133472.3000000003</c:v>
                </c:pt>
                <c:pt idx="3">
                  <c:v>2668165.35</c:v>
                </c:pt>
                <c:pt idx="4">
                  <c:v>2659530</c:v>
                </c:pt>
                <c:pt idx="5">
                  <c:v>3324417.3000000003</c:v>
                </c:pt>
                <c:pt idx="6">
                  <c:v>2462735.1</c:v>
                </c:pt>
                <c:pt idx="7">
                  <c:v>2758227.4999999995</c:v>
                </c:pt>
              </c:numCache>
            </c:numRef>
          </c:val>
          <c:extLst>
            <c:ext xmlns:c16="http://schemas.microsoft.com/office/drawing/2014/chart" uri="{C3380CC4-5D6E-409C-BE32-E72D297353CC}">
              <c16:uniqueId val="{00000000-08A9-43F5-8451-43048B273878}"/>
            </c:ext>
          </c:extLst>
        </c:ser>
        <c:dLbls>
          <c:showLegendKey val="0"/>
          <c:showVal val="0"/>
          <c:showCatName val="0"/>
          <c:showSerName val="0"/>
          <c:showPercent val="0"/>
          <c:showBubbleSize val="0"/>
        </c:dLbls>
        <c:gapWidth val="219"/>
        <c:overlap val="-27"/>
        <c:axId val="2066926383"/>
        <c:axId val="1988523343"/>
      </c:barChart>
      <c:catAx>
        <c:axId val="206691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0383"/>
        <c:crosses val="autoZero"/>
        <c:auto val="1"/>
        <c:lblAlgn val="ctr"/>
        <c:lblOffset val="100"/>
        <c:noMultiLvlLbl val="0"/>
      </c:catAx>
      <c:valAx>
        <c:axId val="198851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914783"/>
        <c:crosses val="autoZero"/>
        <c:crossBetween val="between"/>
      </c:valAx>
      <c:valAx>
        <c:axId val="19885233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926383"/>
        <c:crosses val="max"/>
        <c:crossBetween val="between"/>
      </c:valAx>
      <c:catAx>
        <c:axId val="2066926383"/>
        <c:scaling>
          <c:orientation val="minMax"/>
        </c:scaling>
        <c:delete val="1"/>
        <c:axPos val="b"/>
        <c:numFmt formatCode="General" sourceLinked="1"/>
        <c:majorTickMark val="out"/>
        <c:minorTickMark val="none"/>
        <c:tickLblPos val="nextTo"/>
        <c:crossAx val="1988523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[company_data.xlsx]Month!PivotTable1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28575" cap="rnd">
              <a:solidFill>
                <a:schemeClr val="accent1"/>
              </a:solidFill>
              <a:round/>
            </a:ln>
            <a:effectLst/>
          </c:spPr>
          <c:marker>
            <c:symbol val="none"/>
          </c:marker>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Month!$B$4:$B$16</c:f>
              <c:numCache>
                <c:formatCode>General</c:formatCode>
                <c:ptCount val="12"/>
                <c:pt idx="0">
                  <c:v>1703571.8499999999</c:v>
                </c:pt>
                <c:pt idx="1">
                  <c:v>2374438.7999999993</c:v>
                </c:pt>
                <c:pt idx="2">
                  <c:v>858904.15</c:v>
                </c:pt>
                <c:pt idx="3">
                  <c:v>1214084.3499999999</c:v>
                </c:pt>
                <c:pt idx="4">
                  <c:v>2811452.3499999996</c:v>
                </c:pt>
                <c:pt idx="5">
                  <c:v>2498378.6499999994</c:v>
                </c:pt>
                <c:pt idx="6">
                  <c:v>1982858.5</c:v>
                </c:pt>
                <c:pt idx="7">
                  <c:v>2455951.4999999995</c:v>
                </c:pt>
                <c:pt idx="8">
                  <c:v>2170156.2000000002</c:v>
                </c:pt>
                <c:pt idx="9">
                  <c:v>2790785.9499999997</c:v>
                </c:pt>
                <c:pt idx="10">
                  <c:v>1990042.0500000003</c:v>
                </c:pt>
                <c:pt idx="11">
                  <c:v>2322720.3499999996</c:v>
                </c:pt>
              </c:numCache>
            </c:numRef>
          </c:val>
          <c:smooth val="0"/>
          <c:extLst>
            <c:ext xmlns:c16="http://schemas.microsoft.com/office/drawing/2014/chart" uri="{C3380CC4-5D6E-409C-BE32-E72D297353CC}">
              <c16:uniqueId val="{00000000-8135-4714-AEDC-01321C27A5CB}"/>
            </c:ext>
          </c:extLst>
        </c:ser>
        <c:dLbls>
          <c:showLegendKey val="0"/>
          <c:showVal val="0"/>
          <c:showCatName val="0"/>
          <c:showSerName val="0"/>
          <c:showPercent val="0"/>
          <c:showBubbleSize val="0"/>
        </c:dLbls>
        <c:smooth val="0"/>
        <c:axId val="894080528"/>
        <c:axId val="897722384"/>
      </c:lineChart>
      <c:catAx>
        <c:axId val="894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22384"/>
        <c:crosses val="autoZero"/>
        <c:auto val="1"/>
        <c:lblAlgn val="ctr"/>
        <c:lblOffset val="100"/>
        <c:noMultiLvlLbl val="0"/>
      </c:catAx>
      <c:valAx>
        <c:axId val="89772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0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[company_data.xlsx]Customer!PivotTable3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Customer!$E$3</c:f>
              <c:strCache>
                <c:ptCount val="1"/>
                <c:pt idx="0">
                  <c:v>Total</c:v>
                </c:pt>
              </c:strCache>
            </c:strRef>
          </c:tx>
          <c:spPr>
            <a:solidFill>
              <a:schemeClr val="accent1"/>
            </a:solidFill>
            <a:ln>
              <a:noFill/>
            </a:ln>
            <a:effectLst/>
          </c:spPr>
          <c:invertIfNegative val="0"/>
          <c:cat>
            <c:strRef>
              <c:f>Customer!$D$4:$D$9</c:f>
              <c:strCache>
                <c:ptCount val="5"/>
                <c:pt idx="0">
                  <c:v>Customer_29</c:v>
                </c:pt>
                <c:pt idx="1">
                  <c:v>Customer_43</c:v>
                </c:pt>
                <c:pt idx="2">
                  <c:v>Customer_55</c:v>
                </c:pt>
                <c:pt idx="3">
                  <c:v>Customer_61</c:v>
                </c:pt>
                <c:pt idx="4">
                  <c:v>Customer_96</c:v>
                </c:pt>
              </c:strCache>
            </c:strRef>
          </c:cat>
          <c:val>
            <c:numRef>
              <c:f>Customer!$E$4:$E$9</c:f>
              <c:numCache>
                <c:formatCode>General</c:formatCode>
                <c:ptCount val="5"/>
                <c:pt idx="0">
                  <c:v>322524.20999999996</c:v>
                </c:pt>
                <c:pt idx="1">
                  <c:v>211991.34000000003</c:v>
                </c:pt>
                <c:pt idx="2">
                  <c:v>178423.25</c:v>
                </c:pt>
                <c:pt idx="3">
                  <c:v>285716.06</c:v>
                </c:pt>
                <c:pt idx="4">
                  <c:v>254149.25</c:v>
                </c:pt>
              </c:numCache>
            </c:numRef>
          </c:val>
          <c:extLst>
            <c:ext xmlns:c16="http://schemas.microsoft.com/office/drawing/2014/chart" uri="{C3380CC4-5D6E-409C-BE32-E72D297353CC}">
              <c16:uniqueId val="{00000000-5571-4C83-B867-908DC6A33498}"/>
            </c:ext>
          </c:extLst>
        </c:ser>
        <c:dLbls>
          <c:showLegendKey val="0"/>
          <c:showVal val="0"/>
          <c:showCatName val="0"/>
          <c:showSerName val="0"/>
          <c:showPercent val="0"/>
          <c:showBubbleSize val="0"/>
        </c:dLbls>
        <c:gapWidth val="182"/>
        <c:axId val="2066932879"/>
        <c:axId val="1988636143"/>
      </c:barChart>
      <c:catAx>
        <c:axId val="206693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636143"/>
        <c:crosses val="autoZero"/>
        <c:auto val="1"/>
        <c:lblAlgn val="ctr"/>
        <c:lblOffset val="100"/>
        <c:noMultiLvlLbl val="0"/>
      </c:catAx>
      <c:valAx>
        <c:axId val="198863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93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[company_data.xlsx]channel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 '!$F$3</c:f>
              <c:strCache>
                <c:ptCount val="1"/>
                <c:pt idx="0">
                  <c:v>Total</c:v>
                </c:pt>
              </c:strCache>
            </c:strRef>
          </c:tx>
          <c:spPr>
            <a:solidFill>
              <a:schemeClr val="accent1"/>
            </a:solidFill>
            <a:ln>
              <a:noFill/>
            </a:ln>
            <a:effectLst/>
          </c:spPr>
          <c:invertIfNegative val="0"/>
          <c:cat>
            <c:strRef>
              <c:f>'channel '!$E$4:$E$6</c:f>
              <c:strCache>
                <c:ptCount val="2"/>
                <c:pt idx="0">
                  <c:v>Online</c:v>
                </c:pt>
                <c:pt idx="1">
                  <c:v>Store</c:v>
                </c:pt>
              </c:strCache>
            </c:strRef>
          </c:cat>
          <c:val>
            <c:numRef>
              <c:f>'channel '!$F$4:$F$6</c:f>
              <c:numCache>
                <c:formatCode>General</c:formatCode>
                <c:ptCount val="2"/>
                <c:pt idx="0">
                  <c:v>4016681.5600000019</c:v>
                </c:pt>
                <c:pt idx="1">
                  <c:v>3177632.5300000003</c:v>
                </c:pt>
              </c:numCache>
            </c:numRef>
          </c:val>
          <c:extLst>
            <c:ext xmlns:c16="http://schemas.microsoft.com/office/drawing/2014/chart" uri="{C3380CC4-5D6E-409C-BE32-E72D297353CC}">
              <c16:uniqueId val="{00000000-B243-4197-904F-ED0525CC59BC}"/>
            </c:ext>
          </c:extLst>
        </c:ser>
        <c:dLbls>
          <c:showLegendKey val="0"/>
          <c:showVal val="0"/>
          <c:showCatName val="0"/>
          <c:showSerName val="0"/>
          <c:showPercent val="0"/>
          <c:showBubbleSize val="0"/>
        </c:dLbls>
        <c:gapWidth val="219"/>
        <c:overlap val="-27"/>
        <c:axId val="1868559887"/>
        <c:axId val="1988632783"/>
      </c:barChart>
      <c:catAx>
        <c:axId val="186855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632783"/>
        <c:crosses val="autoZero"/>
        <c:auto val="1"/>
        <c:lblAlgn val="ctr"/>
        <c:lblOffset val="100"/>
        <c:noMultiLvlLbl val="0"/>
      </c:catAx>
      <c:valAx>
        <c:axId val="198863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5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365760</xdr:colOff>
      <xdr:row>0</xdr:row>
      <xdr:rowOff>114300</xdr:rowOff>
    </xdr:from>
    <xdr:to>
      <xdr:col>23</xdr:col>
      <xdr:colOff>243840</xdr:colOff>
      <xdr:row>4</xdr:row>
      <xdr:rowOff>45720</xdr:rowOff>
    </xdr:to>
    <xdr:sp macro="" textlink="">
      <xdr:nvSpPr>
        <xdr:cNvPr id="2" name="Rectangle: Rounded Corners 1">
          <a:extLst>
            <a:ext uri="{FF2B5EF4-FFF2-40B4-BE49-F238E27FC236}">
              <a16:creationId xmlns:a16="http://schemas.microsoft.com/office/drawing/2014/main" id="{6AC73B39-4354-0DC5-E184-2AA929BCBC99}"/>
            </a:ext>
          </a:extLst>
        </xdr:cNvPr>
        <xdr:cNvSpPr/>
      </xdr:nvSpPr>
      <xdr:spPr>
        <a:xfrm>
          <a:off x="365760" y="114300"/>
          <a:ext cx="13898880" cy="66294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COMPANY SALES PERFORMANCE DASHBOARD </a:t>
          </a:r>
        </a:p>
      </xdr:txBody>
    </xdr:sp>
    <xdr:clientData/>
  </xdr:twoCellAnchor>
  <xdr:twoCellAnchor>
    <xdr:from>
      <xdr:col>0</xdr:col>
      <xdr:colOff>403860</xdr:colOff>
      <xdr:row>5</xdr:row>
      <xdr:rowOff>99060</xdr:rowOff>
    </xdr:from>
    <xdr:to>
      <xdr:col>3</xdr:col>
      <xdr:colOff>441960</xdr:colOff>
      <xdr:row>8</xdr:row>
      <xdr:rowOff>15240</xdr:rowOff>
    </xdr:to>
    <xdr:sp macro="" textlink="">
      <xdr:nvSpPr>
        <xdr:cNvPr id="3" name="Rectangle: Rounded Corners 2">
          <a:extLst>
            <a:ext uri="{FF2B5EF4-FFF2-40B4-BE49-F238E27FC236}">
              <a16:creationId xmlns:a16="http://schemas.microsoft.com/office/drawing/2014/main" id="{48D5190F-F571-3451-96C4-EB44AE0A2A1D}"/>
            </a:ext>
          </a:extLst>
        </xdr:cNvPr>
        <xdr:cNvSpPr/>
      </xdr:nvSpPr>
      <xdr:spPr>
        <a:xfrm>
          <a:off x="403860" y="1013460"/>
          <a:ext cx="1866900" cy="46482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Aptos Black" panose="020B0004020202020204" pitchFamily="34" charset="0"/>
            </a:rPr>
            <a:t>Total Revenue</a:t>
          </a:r>
        </a:p>
      </xdr:txBody>
    </xdr:sp>
    <xdr:clientData/>
  </xdr:twoCellAnchor>
  <xdr:twoCellAnchor>
    <xdr:from>
      <xdr:col>5</xdr:col>
      <xdr:colOff>457200</xdr:colOff>
      <xdr:row>8</xdr:row>
      <xdr:rowOff>53340</xdr:rowOff>
    </xdr:from>
    <xdr:to>
      <xdr:col>8</xdr:col>
      <xdr:colOff>60960</xdr:colOff>
      <xdr:row>11</xdr:row>
      <xdr:rowOff>167640</xdr:rowOff>
    </xdr:to>
    <xdr:sp macro="" textlink="KPI_report!E27">
      <xdr:nvSpPr>
        <xdr:cNvPr id="5" name="Rectangle: Rounded Corners 4">
          <a:extLst>
            <a:ext uri="{FF2B5EF4-FFF2-40B4-BE49-F238E27FC236}">
              <a16:creationId xmlns:a16="http://schemas.microsoft.com/office/drawing/2014/main" id="{20D163E1-93A2-249C-9621-FB8EDA1EEA93}"/>
            </a:ext>
          </a:extLst>
        </xdr:cNvPr>
        <xdr:cNvSpPr/>
      </xdr:nvSpPr>
      <xdr:spPr>
        <a:xfrm>
          <a:off x="3505200" y="1516380"/>
          <a:ext cx="1432560" cy="66294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BB3188-81C2-4CB6-B311-0445ABB1FCF5}" type="TxLink">
            <a:rPr lang="en-US" sz="1400" b="0" i="0" u="none" strike="noStrike">
              <a:solidFill>
                <a:schemeClr val="bg1"/>
              </a:solidFill>
              <a:latin typeface="Aptos Black" panose="020B0004020202020204" pitchFamily="34" charset="0"/>
              <a:ea typeface="Calibri"/>
              <a:cs typeface="Calibri"/>
            </a:rPr>
            <a:pPr algn="ctr"/>
            <a:t>$ 7194.31K</a:t>
          </a:fld>
          <a:endParaRPr lang="en-IN" sz="1400" b="1">
            <a:solidFill>
              <a:schemeClr val="bg1"/>
            </a:solidFill>
            <a:latin typeface="Aptos Black" panose="020B0004020202020204" pitchFamily="34" charset="0"/>
          </a:endParaRPr>
        </a:p>
      </xdr:txBody>
    </xdr:sp>
    <xdr:clientData/>
  </xdr:twoCellAnchor>
  <xdr:twoCellAnchor>
    <xdr:from>
      <xdr:col>0</xdr:col>
      <xdr:colOff>601980</xdr:colOff>
      <xdr:row>8</xdr:row>
      <xdr:rowOff>22860</xdr:rowOff>
    </xdr:from>
    <xdr:to>
      <xdr:col>3</xdr:col>
      <xdr:colOff>251460</xdr:colOff>
      <xdr:row>11</xdr:row>
      <xdr:rowOff>175260</xdr:rowOff>
    </xdr:to>
    <xdr:sp macro="" textlink="KPI_report!B27">
      <xdr:nvSpPr>
        <xdr:cNvPr id="6" name="Rectangle: Rounded Corners 5">
          <a:extLst>
            <a:ext uri="{FF2B5EF4-FFF2-40B4-BE49-F238E27FC236}">
              <a16:creationId xmlns:a16="http://schemas.microsoft.com/office/drawing/2014/main" id="{99180C8E-BA67-FB6E-2CA8-AE711C9B94A9}"/>
            </a:ext>
          </a:extLst>
        </xdr:cNvPr>
        <xdr:cNvSpPr/>
      </xdr:nvSpPr>
      <xdr:spPr>
        <a:xfrm>
          <a:off x="601980" y="1485900"/>
          <a:ext cx="1478280" cy="70104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56EFDD-FE89-40CF-A11A-528A0863BFC2}" type="TxLink">
            <a:rPr lang="en-US" sz="1600" b="0" i="0" u="none" strike="noStrike">
              <a:solidFill>
                <a:schemeClr val="bg1"/>
              </a:solidFill>
              <a:latin typeface="Aptos Black" panose="020B0004020202020204" pitchFamily="34" charset="0"/>
              <a:ea typeface="Calibri"/>
              <a:cs typeface="Calibri"/>
            </a:rPr>
            <a:pPr algn="ctr"/>
            <a:t>$ 25173.34K</a:t>
          </a:fld>
          <a:endParaRPr lang="en-US" sz="1600" b="1">
            <a:solidFill>
              <a:schemeClr val="bg1"/>
            </a:solidFill>
            <a:latin typeface="Aptos Black" panose="020B0004020202020204" pitchFamily="34" charset="0"/>
          </a:endParaRPr>
        </a:p>
      </xdr:txBody>
    </xdr:sp>
    <xdr:clientData/>
  </xdr:twoCellAnchor>
  <xdr:twoCellAnchor>
    <xdr:from>
      <xdr:col>5</xdr:col>
      <xdr:colOff>266700</xdr:colOff>
      <xdr:row>5</xdr:row>
      <xdr:rowOff>121920</xdr:rowOff>
    </xdr:from>
    <xdr:to>
      <xdr:col>8</xdr:col>
      <xdr:colOff>304800</xdr:colOff>
      <xdr:row>8</xdr:row>
      <xdr:rowOff>38100</xdr:rowOff>
    </xdr:to>
    <xdr:sp macro="" textlink="">
      <xdr:nvSpPr>
        <xdr:cNvPr id="8" name="Rectangle: Rounded Corners 7">
          <a:extLst>
            <a:ext uri="{FF2B5EF4-FFF2-40B4-BE49-F238E27FC236}">
              <a16:creationId xmlns:a16="http://schemas.microsoft.com/office/drawing/2014/main" id="{C40D71D4-FA93-F9BF-7697-6D4F2AB5E8AA}"/>
            </a:ext>
          </a:extLst>
        </xdr:cNvPr>
        <xdr:cNvSpPr/>
      </xdr:nvSpPr>
      <xdr:spPr>
        <a:xfrm>
          <a:off x="3314700" y="1036320"/>
          <a:ext cx="1866900" cy="46482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Aptos Black" panose="020B0004020202020204" pitchFamily="34" charset="0"/>
            </a:rPr>
            <a:t>Total Profit</a:t>
          </a:r>
        </a:p>
        <a:p>
          <a:pPr algn="ctr"/>
          <a:endParaRPr lang="en-IN" sz="1600" b="1">
            <a:latin typeface="Aptos Black" panose="020B0004020202020204" pitchFamily="34" charset="0"/>
          </a:endParaRPr>
        </a:p>
      </xdr:txBody>
    </xdr:sp>
    <xdr:clientData/>
  </xdr:twoCellAnchor>
  <xdr:twoCellAnchor>
    <xdr:from>
      <xdr:col>10</xdr:col>
      <xdr:colOff>160020</xdr:colOff>
      <xdr:row>5</xdr:row>
      <xdr:rowOff>106680</xdr:rowOff>
    </xdr:from>
    <xdr:to>
      <xdr:col>13</xdr:col>
      <xdr:colOff>198120</xdr:colOff>
      <xdr:row>8</xdr:row>
      <xdr:rowOff>22860</xdr:rowOff>
    </xdr:to>
    <xdr:sp macro="" textlink="">
      <xdr:nvSpPr>
        <xdr:cNvPr id="9" name="Rectangle: Rounded Corners 8">
          <a:extLst>
            <a:ext uri="{FF2B5EF4-FFF2-40B4-BE49-F238E27FC236}">
              <a16:creationId xmlns:a16="http://schemas.microsoft.com/office/drawing/2014/main" id="{DED4684E-2899-545B-C1FA-0FCE0D56A5F2}"/>
            </a:ext>
          </a:extLst>
        </xdr:cNvPr>
        <xdr:cNvSpPr/>
      </xdr:nvSpPr>
      <xdr:spPr>
        <a:xfrm>
          <a:off x="6256020" y="1021080"/>
          <a:ext cx="1866900" cy="46482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Aptos Black" panose="020B0004020202020204" pitchFamily="34" charset="0"/>
            </a:rPr>
            <a:t>Total Orders</a:t>
          </a:r>
        </a:p>
      </xdr:txBody>
    </xdr:sp>
    <xdr:clientData/>
  </xdr:twoCellAnchor>
  <xdr:twoCellAnchor>
    <xdr:from>
      <xdr:col>14</xdr:col>
      <xdr:colOff>449580</xdr:colOff>
      <xdr:row>5</xdr:row>
      <xdr:rowOff>106680</xdr:rowOff>
    </xdr:from>
    <xdr:to>
      <xdr:col>17</xdr:col>
      <xdr:colOff>487680</xdr:colOff>
      <xdr:row>8</xdr:row>
      <xdr:rowOff>22860</xdr:rowOff>
    </xdr:to>
    <xdr:sp macro="" textlink="">
      <xdr:nvSpPr>
        <xdr:cNvPr id="11" name="Rectangle: Rounded Corners 10">
          <a:extLst>
            <a:ext uri="{FF2B5EF4-FFF2-40B4-BE49-F238E27FC236}">
              <a16:creationId xmlns:a16="http://schemas.microsoft.com/office/drawing/2014/main" id="{61B84B0B-0D05-F6CB-8BB9-C38BA1CE8257}"/>
            </a:ext>
          </a:extLst>
        </xdr:cNvPr>
        <xdr:cNvSpPr/>
      </xdr:nvSpPr>
      <xdr:spPr>
        <a:xfrm>
          <a:off x="8983980" y="1021080"/>
          <a:ext cx="1866900" cy="46482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Aptos Black" panose="020B0004020202020204" pitchFamily="34" charset="0"/>
            </a:rPr>
            <a:t>Total Margin</a:t>
          </a:r>
        </a:p>
      </xdr:txBody>
    </xdr:sp>
    <xdr:clientData/>
  </xdr:twoCellAnchor>
  <xdr:twoCellAnchor>
    <xdr:from>
      <xdr:col>10</xdr:col>
      <xdr:colOff>320040</xdr:colOff>
      <xdr:row>8</xdr:row>
      <xdr:rowOff>45720</xdr:rowOff>
    </xdr:from>
    <xdr:to>
      <xdr:col>12</xdr:col>
      <xdr:colOff>579120</xdr:colOff>
      <xdr:row>12</xdr:row>
      <xdr:rowOff>0</xdr:rowOff>
    </xdr:to>
    <xdr:sp macro="" textlink="KPI_report!H27">
      <xdr:nvSpPr>
        <xdr:cNvPr id="15" name="Rectangle: Rounded Corners 14">
          <a:extLst>
            <a:ext uri="{FF2B5EF4-FFF2-40B4-BE49-F238E27FC236}">
              <a16:creationId xmlns:a16="http://schemas.microsoft.com/office/drawing/2014/main" id="{90EA9C89-9C6D-6D10-AB42-AE3DC45077B7}"/>
            </a:ext>
          </a:extLst>
        </xdr:cNvPr>
        <xdr:cNvSpPr/>
      </xdr:nvSpPr>
      <xdr:spPr>
        <a:xfrm>
          <a:off x="6416040" y="1508760"/>
          <a:ext cx="1478280" cy="68580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0876D6-D0D9-4D78-A2A8-FE7D44A393B1}" type="TxLink">
            <a:rPr lang="en-US" sz="1400" b="0" i="0" u="none" strike="noStrike">
              <a:solidFill>
                <a:schemeClr val="bg1"/>
              </a:solidFill>
              <a:latin typeface="Aptos Black" panose="020B0004020202020204" pitchFamily="34" charset="0"/>
              <a:ea typeface="Calibri"/>
              <a:cs typeface="Calibri"/>
            </a:rPr>
            <a:pPr algn="ctr"/>
            <a:t>400</a:t>
          </a:fld>
          <a:endParaRPr lang="en-US" sz="1400">
            <a:solidFill>
              <a:schemeClr val="bg1"/>
            </a:solidFill>
            <a:latin typeface="Aptos Black" panose="020B0004020202020204" pitchFamily="34" charset="0"/>
          </a:endParaRPr>
        </a:p>
      </xdr:txBody>
    </xdr:sp>
    <xdr:clientData/>
  </xdr:twoCellAnchor>
  <xdr:twoCellAnchor>
    <xdr:from>
      <xdr:col>15</xdr:col>
      <xdr:colOff>38100</xdr:colOff>
      <xdr:row>8</xdr:row>
      <xdr:rowOff>38100</xdr:rowOff>
    </xdr:from>
    <xdr:to>
      <xdr:col>17</xdr:col>
      <xdr:colOff>297180</xdr:colOff>
      <xdr:row>11</xdr:row>
      <xdr:rowOff>160020</xdr:rowOff>
    </xdr:to>
    <xdr:sp macro="" textlink="KPI_report!K27">
      <xdr:nvSpPr>
        <xdr:cNvPr id="16" name="Rectangle: Rounded Corners 15">
          <a:extLst>
            <a:ext uri="{FF2B5EF4-FFF2-40B4-BE49-F238E27FC236}">
              <a16:creationId xmlns:a16="http://schemas.microsoft.com/office/drawing/2014/main" id="{A0B3D931-B70E-AD05-13B0-70761BFFDA94}"/>
            </a:ext>
          </a:extLst>
        </xdr:cNvPr>
        <xdr:cNvSpPr/>
      </xdr:nvSpPr>
      <xdr:spPr>
        <a:xfrm>
          <a:off x="9182100" y="1501140"/>
          <a:ext cx="1478280" cy="670560"/>
        </a:xfrm>
        <a:prstGeom prst="roundRect">
          <a:avLst>
            <a:gd name="adj" fmla="val 13219"/>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CBCF1C-1690-4A8E-B3B6-64EAC27A36D9}" type="TxLink">
            <a:rPr lang="en-US" sz="1400" b="0" i="0" u="none" strike="noStrike">
              <a:solidFill>
                <a:schemeClr val="bg1"/>
              </a:solidFill>
              <a:latin typeface="Aptos Black" panose="020B0004020202020204" pitchFamily="34" charset="0"/>
              <a:ea typeface="Calibri"/>
              <a:cs typeface="Calibri"/>
            </a:rPr>
            <a:pPr algn="ctr"/>
            <a:t>29%</a:t>
          </a:fld>
          <a:endParaRPr lang="en-US" sz="1400" b="1">
            <a:solidFill>
              <a:schemeClr val="bg1"/>
            </a:solidFill>
            <a:latin typeface="Aptos Black" panose="020B0004020202020204" pitchFamily="34" charset="0"/>
          </a:endParaRPr>
        </a:p>
      </xdr:txBody>
    </xdr:sp>
    <xdr:clientData/>
  </xdr:twoCellAnchor>
  <xdr:twoCellAnchor>
    <xdr:from>
      <xdr:col>0</xdr:col>
      <xdr:colOff>449580</xdr:colOff>
      <xdr:row>15</xdr:row>
      <xdr:rowOff>175260</xdr:rowOff>
    </xdr:from>
    <xdr:to>
      <xdr:col>9</xdr:col>
      <xdr:colOff>114300</xdr:colOff>
      <xdr:row>27</xdr:row>
      <xdr:rowOff>68580</xdr:rowOff>
    </xdr:to>
    <xdr:sp macro="" textlink="">
      <xdr:nvSpPr>
        <xdr:cNvPr id="4" name="Rectangle: Rounded Corners 3">
          <a:extLst>
            <a:ext uri="{FF2B5EF4-FFF2-40B4-BE49-F238E27FC236}">
              <a16:creationId xmlns:a16="http://schemas.microsoft.com/office/drawing/2014/main" id="{7887508E-69D4-473F-9F09-F02A8C1BC899}"/>
            </a:ext>
          </a:extLst>
        </xdr:cNvPr>
        <xdr:cNvSpPr/>
      </xdr:nvSpPr>
      <xdr:spPr>
        <a:xfrm>
          <a:off x="449580" y="2918460"/>
          <a:ext cx="5151120" cy="208788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9</xdr:col>
      <xdr:colOff>449580</xdr:colOff>
      <xdr:row>16</xdr:row>
      <xdr:rowOff>15240</xdr:rowOff>
    </xdr:from>
    <xdr:to>
      <xdr:col>18</xdr:col>
      <xdr:colOff>114300</xdr:colOff>
      <xdr:row>28</xdr:row>
      <xdr:rowOff>7620</xdr:rowOff>
    </xdr:to>
    <xdr:sp macro="" textlink="">
      <xdr:nvSpPr>
        <xdr:cNvPr id="7" name="Rectangle: Rounded Corners 6">
          <a:extLst>
            <a:ext uri="{FF2B5EF4-FFF2-40B4-BE49-F238E27FC236}">
              <a16:creationId xmlns:a16="http://schemas.microsoft.com/office/drawing/2014/main" id="{CC013256-8357-EF84-F016-321A0352BEA1}"/>
            </a:ext>
          </a:extLst>
        </xdr:cNvPr>
        <xdr:cNvSpPr/>
      </xdr:nvSpPr>
      <xdr:spPr>
        <a:xfrm>
          <a:off x="5935980" y="2941320"/>
          <a:ext cx="5151120" cy="218694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0</xdr:col>
      <xdr:colOff>464820</xdr:colOff>
      <xdr:row>29</xdr:row>
      <xdr:rowOff>22860</xdr:rowOff>
    </xdr:from>
    <xdr:to>
      <xdr:col>9</xdr:col>
      <xdr:colOff>129540</xdr:colOff>
      <xdr:row>41</xdr:row>
      <xdr:rowOff>15240</xdr:rowOff>
    </xdr:to>
    <xdr:sp macro="" textlink="">
      <xdr:nvSpPr>
        <xdr:cNvPr id="12" name="Rectangle: Rounded Corners 11">
          <a:extLst>
            <a:ext uri="{FF2B5EF4-FFF2-40B4-BE49-F238E27FC236}">
              <a16:creationId xmlns:a16="http://schemas.microsoft.com/office/drawing/2014/main" id="{4B742D76-964B-8BD9-DE70-5C64BABEB1CE}"/>
            </a:ext>
          </a:extLst>
        </xdr:cNvPr>
        <xdr:cNvSpPr/>
      </xdr:nvSpPr>
      <xdr:spPr>
        <a:xfrm>
          <a:off x="464820" y="5326380"/>
          <a:ext cx="5151120" cy="218694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9</xdr:col>
      <xdr:colOff>541020</xdr:colOff>
      <xdr:row>29</xdr:row>
      <xdr:rowOff>91440</xdr:rowOff>
    </xdr:from>
    <xdr:to>
      <xdr:col>18</xdr:col>
      <xdr:colOff>205740</xdr:colOff>
      <xdr:row>41</xdr:row>
      <xdr:rowOff>83820</xdr:rowOff>
    </xdr:to>
    <xdr:sp macro="" textlink="">
      <xdr:nvSpPr>
        <xdr:cNvPr id="13" name="Rectangle: Rounded Corners 12">
          <a:extLst>
            <a:ext uri="{FF2B5EF4-FFF2-40B4-BE49-F238E27FC236}">
              <a16:creationId xmlns:a16="http://schemas.microsoft.com/office/drawing/2014/main" id="{C4B186EF-B1D0-1FEF-1A4D-F87A2329168E}"/>
            </a:ext>
          </a:extLst>
        </xdr:cNvPr>
        <xdr:cNvSpPr/>
      </xdr:nvSpPr>
      <xdr:spPr>
        <a:xfrm>
          <a:off x="6027420" y="5394960"/>
          <a:ext cx="5151120" cy="218694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0</xdr:col>
      <xdr:colOff>510540</xdr:colOff>
      <xdr:row>43</xdr:row>
      <xdr:rowOff>30480</xdr:rowOff>
    </xdr:from>
    <xdr:to>
      <xdr:col>9</xdr:col>
      <xdr:colOff>175260</xdr:colOff>
      <xdr:row>55</xdr:row>
      <xdr:rowOff>22860</xdr:rowOff>
    </xdr:to>
    <xdr:sp macro="" textlink="">
      <xdr:nvSpPr>
        <xdr:cNvPr id="14" name="Rectangle: Rounded Corners 13">
          <a:extLst>
            <a:ext uri="{FF2B5EF4-FFF2-40B4-BE49-F238E27FC236}">
              <a16:creationId xmlns:a16="http://schemas.microsoft.com/office/drawing/2014/main" id="{7AFFB71E-8058-DA4D-C696-0C7A141F9D85}"/>
            </a:ext>
          </a:extLst>
        </xdr:cNvPr>
        <xdr:cNvSpPr/>
      </xdr:nvSpPr>
      <xdr:spPr>
        <a:xfrm>
          <a:off x="510540" y="7894320"/>
          <a:ext cx="5151120" cy="218694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9</xdr:col>
      <xdr:colOff>533400</xdr:colOff>
      <xdr:row>43</xdr:row>
      <xdr:rowOff>114300</xdr:rowOff>
    </xdr:from>
    <xdr:to>
      <xdr:col>18</xdr:col>
      <xdr:colOff>198120</xdr:colOff>
      <xdr:row>55</xdr:row>
      <xdr:rowOff>106680</xdr:rowOff>
    </xdr:to>
    <xdr:sp macro="" textlink="">
      <xdr:nvSpPr>
        <xdr:cNvPr id="17" name="Rectangle: Rounded Corners 16">
          <a:extLst>
            <a:ext uri="{FF2B5EF4-FFF2-40B4-BE49-F238E27FC236}">
              <a16:creationId xmlns:a16="http://schemas.microsoft.com/office/drawing/2014/main" id="{EC2CBA2D-7AF6-8065-1E3A-943350F3BB63}"/>
            </a:ext>
          </a:extLst>
        </xdr:cNvPr>
        <xdr:cNvSpPr/>
      </xdr:nvSpPr>
      <xdr:spPr>
        <a:xfrm>
          <a:off x="6019800" y="7978140"/>
          <a:ext cx="5151120" cy="218694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0</xdr:col>
      <xdr:colOff>571500</xdr:colOff>
      <xdr:row>18</xdr:row>
      <xdr:rowOff>7620</xdr:rowOff>
    </xdr:from>
    <xdr:to>
      <xdr:col>8</xdr:col>
      <xdr:colOff>510540</xdr:colOff>
      <xdr:row>27</xdr:row>
      <xdr:rowOff>76200</xdr:rowOff>
    </xdr:to>
    <xdr:graphicFrame macro="">
      <xdr:nvGraphicFramePr>
        <xdr:cNvPr id="18" name="Chart 17">
          <a:extLst>
            <a:ext uri="{FF2B5EF4-FFF2-40B4-BE49-F238E27FC236}">
              <a16:creationId xmlns:a16="http://schemas.microsoft.com/office/drawing/2014/main" id="{52FA3420-D471-4C00-B3D5-21BC98693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388620</xdr:colOff>
      <xdr:row>17</xdr:row>
      <xdr:rowOff>99060</xdr:rowOff>
    </xdr:from>
    <xdr:to>
      <xdr:col>18</xdr:col>
      <xdr:colOff>160020</xdr:colOff>
      <xdr:row>27</xdr:row>
      <xdr:rowOff>91440</xdr:rowOff>
    </xdr:to>
    <xdr:graphicFrame macro="">
      <xdr:nvGraphicFramePr>
        <xdr:cNvPr id="19" name="Chart 18">
          <a:extLst>
            <a:ext uri="{FF2B5EF4-FFF2-40B4-BE49-F238E27FC236}">
              <a16:creationId xmlns:a16="http://schemas.microsoft.com/office/drawing/2014/main" id="{F87BB322-17C1-4981-9A45-79AF939E7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68580</xdr:colOff>
      <xdr:row>16</xdr:row>
      <xdr:rowOff>30480</xdr:rowOff>
    </xdr:from>
    <xdr:to>
      <xdr:col>12</xdr:col>
      <xdr:colOff>487680</xdr:colOff>
      <xdr:row>18</xdr:row>
      <xdr:rowOff>22860</xdr:rowOff>
    </xdr:to>
    <xdr:sp macro="" textlink="">
      <xdr:nvSpPr>
        <xdr:cNvPr id="20" name="Rectangle: Rounded Corners 19">
          <a:extLst>
            <a:ext uri="{FF2B5EF4-FFF2-40B4-BE49-F238E27FC236}">
              <a16:creationId xmlns:a16="http://schemas.microsoft.com/office/drawing/2014/main" id="{E56F640A-9D26-CAC6-C4B2-0664442FB496}"/>
            </a:ext>
          </a:extLst>
        </xdr:cNvPr>
        <xdr:cNvSpPr/>
      </xdr:nvSpPr>
      <xdr:spPr>
        <a:xfrm>
          <a:off x="6164580" y="2956560"/>
          <a:ext cx="1638300" cy="35814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ptos Black" panose="020B0004020202020204" pitchFamily="34" charset="0"/>
            </a:rPr>
            <a:t>Profit by</a:t>
          </a:r>
          <a:r>
            <a:rPr lang="en-IN" sz="1100" baseline="0">
              <a:latin typeface="Aptos Black" panose="020B0004020202020204" pitchFamily="34" charset="0"/>
            </a:rPr>
            <a:t> salesperson</a:t>
          </a:r>
          <a:endParaRPr lang="en-IN" sz="1100">
            <a:latin typeface="Aptos Black" panose="020B0004020202020204" pitchFamily="34" charset="0"/>
          </a:endParaRPr>
        </a:p>
      </xdr:txBody>
    </xdr:sp>
    <xdr:clientData/>
  </xdr:twoCellAnchor>
  <xdr:twoCellAnchor>
    <xdr:from>
      <xdr:col>1</xdr:col>
      <xdr:colOff>83820</xdr:colOff>
      <xdr:row>29</xdr:row>
      <xdr:rowOff>45720</xdr:rowOff>
    </xdr:from>
    <xdr:to>
      <xdr:col>3</xdr:col>
      <xdr:colOff>403860</xdr:colOff>
      <xdr:row>31</xdr:row>
      <xdr:rowOff>7620</xdr:rowOff>
    </xdr:to>
    <xdr:sp macro="" textlink="">
      <xdr:nvSpPr>
        <xdr:cNvPr id="25" name="Rectangle: Rounded Corners 24">
          <a:extLst>
            <a:ext uri="{FF2B5EF4-FFF2-40B4-BE49-F238E27FC236}">
              <a16:creationId xmlns:a16="http://schemas.microsoft.com/office/drawing/2014/main" id="{3ECDD752-6239-2C44-12D3-6E34727D1F30}"/>
            </a:ext>
          </a:extLst>
        </xdr:cNvPr>
        <xdr:cNvSpPr/>
      </xdr:nvSpPr>
      <xdr:spPr>
        <a:xfrm>
          <a:off x="693420" y="5349240"/>
          <a:ext cx="1539240" cy="32766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ptos Black" panose="020B0004020202020204" pitchFamily="34" charset="0"/>
            </a:rPr>
            <a:t>Top</a:t>
          </a:r>
          <a:r>
            <a:rPr lang="en-IN" sz="1100" baseline="0">
              <a:latin typeface="Aptos Black" panose="020B0004020202020204" pitchFamily="34" charset="0"/>
            </a:rPr>
            <a:t> 5 Product</a:t>
          </a:r>
        </a:p>
        <a:p>
          <a:pPr algn="ctr"/>
          <a:endParaRPr lang="en-IN" sz="1100">
            <a:latin typeface="Aptos Black" panose="020B0004020202020204" pitchFamily="34" charset="0"/>
          </a:endParaRPr>
        </a:p>
      </xdr:txBody>
    </xdr:sp>
    <xdr:clientData/>
  </xdr:twoCellAnchor>
  <xdr:twoCellAnchor>
    <xdr:from>
      <xdr:col>1</xdr:col>
      <xdr:colOff>15240</xdr:colOff>
      <xdr:row>16</xdr:row>
      <xdr:rowOff>30480</xdr:rowOff>
    </xdr:from>
    <xdr:to>
      <xdr:col>3</xdr:col>
      <xdr:colOff>251460</xdr:colOff>
      <xdr:row>18</xdr:row>
      <xdr:rowOff>0</xdr:rowOff>
    </xdr:to>
    <xdr:sp macro="" textlink="">
      <xdr:nvSpPr>
        <xdr:cNvPr id="26" name="Rectangle: Rounded Corners 25">
          <a:extLst>
            <a:ext uri="{FF2B5EF4-FFF2-40B4-BE49-F238E27FC236}">
              <a16:creationId xmlns:a16="http://schemas.microsoft.com/office/drawing/2014/main" id="{E6691349-6256-B398-7D9E-B47C05A55B16}"/>
            </a:ext>
          </a:extLst>
        </xdr:cNvPr>
        <xdr:cNvSpPr/>
      </xdr:nvSpPr>
      <xdr:spPr>
        <a:xfrm>
          <a:off x="624840" y="2956560"/>
          <a:ext cx="1455420" cy="33528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ptos Black" panose="020B0004020202020204" pitchFamily="34" charset="0"/>
            </a:rPr>
            <a:t>Analysis</a:t>
          </a:r>
          <a:r>
            <a:rPr lang="en-IN" sz="1100" b="1" baseline="0">
              <a:latin typeface="Aptos Black" panose="020B0004020202020204" pitchFamily="34" charset="0"/>
            </a:rPr>
            <a:t> by month</a:t>
          </a:r>
          <a:endParaRPr lang="en-IN" sz="1100" b="1">
            <a:latin typeface="Aptos Black" panose="020B0004020202020204" pitchFamily="34" charset="0"/>
          </a:endParaRPr>
        </a:p>
      </xdr:txBody>
    </xdr:sp>
    <xdr:clientData/>
  </xdr:twoCellAnchor>
  <xdr:twoCellAnchor>
    <xdr:from>
      <xdr:col>10</xdr:col>
      <xdr:colOff>167640</xdr:colOff>
      <xdr:row>29</xdr:row>
      <xdr:rowOff>99060</xdr:rowOff>
    </xdr:from>
    <xdr:to>
      <xdr:col>12</xdr:col>
      <xdr:colOff>487680</xdr:colOff>
      <xdr:row>31</xdr:row>
      <xdr:rowOff>60960</xdr:rowOff>
    </xdr:to>
    <xdr:sp macro="" textlink="">
      <xdr:nvSpPr>
        <xdr:cNvPr id="31" name="Rectangle: Rounded Corners 30">
          <a:extLst>
            <a:ext uri="{FF2B5EF4-FFF2-40B4-BE49-F238E27FC236}">
              <a16:creationId xmlns:a16="http://schemas.microsoft.com/office/drawing/2014/main" id="{FFCCFF7A-6BAA-483D-A82A-F511AB91A1D1}"/>
            </a:ext>
          </a:extLst>
        </xdr:cNvPr>
        <xdr:cNvSpPr/>
      </xdr:nvSpPr>
      <xdr:spPr>
        <a:xfrm>
          <a:off x="6263640" y="5402580"/>
          <a:ext cx="1539240" cy="32766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ptos Black" panose="020B0004020202020204" pitchFamily="34" charset="0"/>
            </a:rPr>
            <a:t>Rvenue by</a:t>
          </a:r>
          <a:r>
            <a:rPr lang="en-IN" sz="1100" baseline="0">
              <a:latin typeface="Aptos Black" panose="020B0004020202020204" pitchFamily="34" charset="0"/>
            </a:rPr>
            <a:t> Category</a:t>
          </a:r>
          <a:endParaRPr lang="en-IN" sz="1100">
            <a:latin typeface="Aptos Black" panose="020B0004020202020204" pitchFamily="34" charset="0"/>
          </a:endParaRPr>
        </a:p>
      </xdr:txBody>
    </xdr:sp>
    <xdr:clientData/>
  </xdr:twoCellAnchor>
  <xdr:twoCellAnchor>
    <xdr:from>
      <xdr:col>0</xdr:col>
      <xdr:colOff>350520</xdr:colOff>
      <xdr:row>29</xdr:row>
      <xdr:rowOff>7620</xdr:rowOff>
    </xdr:from>
    <xdr:to>
      <xdr:col>9</xdr:col>
      <xdr:colOff>281940</xdr:colOff>
      <xdr:row>41</xdr:row>
      <xdr:rowOff>60960</xdr:rowOff>
    </xdr:to>
    <xdr:graphicFrame macro="">
      <xdr:nvGraphicFramePr>
        <xdr:cNvPr id="32" name="Chart 31">
          <a:extLst>
            <a:ext uri="{FF2B5EF4-FFF2-40B4-BE49-F238E27FC236}">
              <a16:creationId xmlns:a16="http://schemas.microsoft.com/office/drawing/2014/main" id="{B60DCA70-DFD9-4853-A489-3399159C6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472440</xdr:colOff>
      <xdr:row>30</xdr:row>
      <xdr:rowOff>106680</xdr:rowOff>
    </xdr:from>
    <xdr:to>
      <xdr:col>18</xdr:col>
      <xdr:colOff>160020</xdr:colOff>
      <xdr:row>42</xdr:row>
      <xdr:rowOff>7620</xdr:rowOff>
    </xdr:to>
    <xdr:graphicFrame macro="">
      <xdr:nvGraphicFramePr>
        <xdr:cNvPr id="33" name="Chart 32">
          <a:extLst>
            <a:ext uri="{FF2B5EF4-FFF2-40B4-BE49-F238E27FC236}">
              <a16:creationId xmlns:a16="http://schemas.microsoft.com/office/drawing/2014/main" id="{9FF68CF3-53C2-48D4-87C1-BCD67A4CE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480060</xdr:colOff>
      <xdr:row>44</xdr:row>
      <xdr:rowOff>76200</xdr:rowOff>
    </xdr:from>
    <xdr:to>
      <xdr:col>9</xdr:col>
      <xdr:colOff>198120</xdr:colOff>
      <xdr:row>55</xdr:row>
      <xdr:rowOff>30480</xdr:rowOff>
    </xdr:to>
    <xdr:graphicFrame macro="">
      <xdr:nvGraphicFramePr>
        <xdr:cNvPr id="35" name="Chart 34">
          <a:extLst>
            <a:ext uri="{FF2B5EF4-FFF2-40B4-BE49-F238E27FC236}">
              <a16:creationId xmlns:a16="http://schemas.microsoft.com/office/drawing/2014/main" id="{F936274A-9F23-47AD-9D12-64944B9AD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144780</xdr:colOff>
      <xdr:row>43</xdr:row>
      <xdr:rowOff>45720</xdr:rowOff>
    </xdr:from>
    <xdr:to>
      <xdr:col>3</xdr:col>
      <xdr:colOff>464820</xdr:colOff>
      <xdr:row>45</xdr:row>
      <xdr:rowOff>7620</xdr:rowOff>
    </xdr:to>
    <xdr:sp macro="" textlink="">
      <xdr:nvSpPr>
        <xdr:cNvPr id="36" name="Rectangle: Rounded Corners 35">
          <a:extLst>
            <a:ext uri="{FF2B5EF4-FFF2-40B4-BE49-F238E27FC236}">
              <a16:creationId xmlns:a16="http://schemas.microsoft.com/office/drawing/2014/main" id="{3C252341-3DCC-4870-B8A9-EDA51C15BBED}"/>
            </a:ext>
          </a:extLst>
        </xdr:cNvPr>
        <xdr:cNvSpPr/>
      </xdr:nvSpPr>
      <xdr:spPr>
        <a:xfrm>
          <a:off x="754380" y="7909560"/>
          <a:ext cx="1539240" cy="32766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ptos Black" panose="020B0004020202020204" pitchFamily="34" charset="0"/>
            </a:rPr>
            <a:t>Top</a:t>
          </a:r>
          <a:r>
            <a:rPr lang="en-IN" sz="1100" baseline="0">
              <a:latin typeface="Aptos Black" panose="020B0004020202020204" pitchFamily="34" charset="0"/>
            </a:rPr>
            <a:t> 5 Customer</a:t>
          </a:r>
          <a:endParaRPr lang="en-IN" sz="1100">
            <a:latin typeface="Aptos Black" panose="020B0004020202020204" pitchFamily="34" charset="0"/>
          </a:endParaRPr>
        </a:p>
      </xdr:txBody>
    </xdr:sp>
    <xdr:clientData/>
  </xdr:twoCellAnchor>
  <xdr:twoCellAnchor>
    <xdr:from>
      <xdr:col>9</xdr:col>
      <xdr:colOff>190500</xdr:colOff>
      <xdr:row>43</xdr:row>
      <xdr:rowOff>167640</xdr:rowOff>
    </xdr:from>
    <xdr:to>
      <xdr:col>18</xdr:col>
      <xdr:colOff>495300</xdr:colOff>
      <xdr:row>55</xdr:row>
      <xdr:rowOff>106680</xdr:rowOff>
    </xdr:to>
    <xdr:graphicFrame macro="">
      <xdr:nvGraphicFramePr>
        <xdr:cNvPr id="37" name="Chart 36">
          <a:extLst>
            <a:ext uri="{FF2B5EF4-FFF2-40B4-BE49-F238E27FC236}">
              <a16:creationId xmlns:a16="http://schemas.microsoft.com/office/drawing/2014/main" id="{549843E9-6531-4D08-B8CE-79C448732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396240</xdr:colOff>
      <xdr:row>15</xdr:row>
      <xdr:rowOff>68580</xdr:rowOff>
    </xdr:from>
    <xdr:to>
      <xdr:col>23</xdr:col>
      <xdr:colOff>373380</xdr:colOff>
      <xdr:row>34</xdr:row>
      <xdr:rowOff>160020</xdr:rowOff>
    </xdr:to>
    <xdr:sp macro="" textlink="">
      <xdr:nvSpPr>
        <xdr:cNvPr id="38" name="Rectangle: Rounded Corners 37">
          <a:extLst>
            <a:ext uri="{FF2B5EF4-FFF2-40B4-BE49-F238E27FC236}">
              <a16:creationId xmlns:a16="http://schemas.microsoft.com/office/drawing/2014/main" id="{9069BA53-247B-FAA5-B8EE-0222F27D4119}"/>
            </a:ext>
          </a:extLst>
        </xdr:cNvPr>
        <xdr:cNvSpPr/>
      </xdr:nvSpPr>
      <xdr:spPr>
        <a:xfrm>
          <a:off x="11445240" y="2767330"/>
          <a:ext cx="3046307" cy="3509857"/>
        </a:xfrm>
        <a:prstGeom prst="roundRect">
          <a:avLst>
            <a:gd name="adj" fmla="val 10118"/>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18</xdr:col>
      <xdr:colOff>381000</xdr:colOff>
      <xdr:row>42</xdr:row>
      <xdr:rowOff>15240</xdr:rowOff>
    </xdr:from>
    <xdr:to>
      <xdr:col>23</xdr:col>
      <xdr:colOff>358140</xdr:colOff>
      <xdr:row>57</xdr:row>
      <xdr:rowOff>7620</xdr:rowOff>
    </xdr:to>
    <xdr:sp macro="" textlink="">
      <xdr:nvSpPr>
        <xdr:cNvPr id="39" name="Rectangle: Rounded Corners 38">
          <a:extLst>
            <a:ext uri="{FF2B5EF4-FFF2-40B4-BE49-F238E27FC236}">
              <a16:creationId xmlns:a16="http://schemas.microsoft.com/office/drawing/2014/main" id="{8346D6E7-7EEB-4D64-B1C4-BF7BD95A737D}"/>
            </a:ext>
          </a:extLst>
        </xdr:cNvPr>
        <xdr:cNvSpPr/>
      </xdr:nvSpPr>
      <xdr:spPr>
        <a:xfrm>
          <a:off x="11353800" y="7696200"/>
          <a:ext cx="3025140" cy="2735580"/>
        </a:xfrm>
        <a:prstGeom prst="roundRect">
          <a:avLst>
            <a:gd name="adj" fmla="val 12210"/>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xdr:from>
      <xdr:col>18</xdr:col>
      <xdr:colOff>297180</xdr:colOff>
      <xdr:row>4</xdr:row>
      <xdr:rowOff>137160</xdr:rowOff>
    </xdr:from>
    <xdr:to>
      <xdr:col>23</xdr:col>
      <xdr:colOff>274320</xdr:colOff>
      <xdr:row>13</xdr:row>
      <xdr:rowOff>22860</xdr:rowOff>
    </xdr:to>
    <xdr:sp macro="" textlink="">
      <xdr:nvSpPr>
        <xdr:cNvPr id="40" name="Rectangle: Rounded Corners 39">
          <a:extLst>
            <a:ext uri="{FF2B5EF4-FFF2-40B4-BE49-F238E27FC236}">
              <a16:creationId xmlns:a16="http://schemas.microsoft.com/office/drawing/2014/main" id="{8E2FD6D3-4D08-4821-AA21-9EA2732771EE}"/>
            </a:ext>
          </a:extLst>
        </xdr:cNvPr>
        <xdr:cNvSpPr/>
      </xdr:nvSpPr>
      <xdr:spPr>
        <a:xfrm>
          <a:off x="11269980" y="868680"/>
          <a:ext cx="3025140" cy="1531620"/>
        </a:xfrm>
        <a:prstGeom prst="roundRect">
          <a:avLst/>
        </a:prstGeom>
        <a:gradFill>
          <a:gsLst>
            <a:gs pos="0">
              <a:schemeClr val="bg1">
                <a:lumMod val="50000"/>
              </a:schemeClr>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p>
      </xdr:txBody>
    </xdr:sp>
    <xdr:clientData/>
  </xdr:twoCellAnchor>
  <xdr:twoCellAnchor editAs="oneCell">
    <xdr:from>
      <xdr:col>18</xdr:col>
      <xdr:colOff>396240</xdr:colOff>
      <xdr:row>5</xdr:row>
      <xdr:rowOff>22860</xdr:rowOff>
    </xdr:from>
    <xdr:to>
      <xdr:col>23</xdr:col>
      <xdr:colOff>182880</xdr:colOff>
      <xdr:row>11</xdr:row>
      <xdr:rowOff>114300</xdr:rowOff>
    </xdr:to>
    <mc:AlternateContent xmlns:mc="http://schemas.openxmlformats.org/markup-compatibility/2006" xmlns:tsle="http://schemas.microsoft.com/office/drawing/2012/timeslicer">
      <mc:Choice Requires="tsle">
        <xdr:graphicFrame macro="">
          <xdr:nvGraphicFramePr>
            <xdr:cNvPr id="41" name="Order_Date 1">
              <a:extLst>
                <a:ext uri="{FF2B5EF4-FFF2-40B4-BE49-F238E27FC236}">
                  <a16:creationId xmlns:a16="http://schemas.microsoft.com/office/drawing/2014/main" id="{F65F7CF6-E85D-4DB1-96CE-D26BD08064F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369040" y="911860"/>
              <a:ext cx="2834640" cy="11582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480060</xdr:colOff>
      <xdr:row>19</xdr:row>
      <xdr:rowOff>0</xdr:rowOff>
    </xdr:from>
    <xdr:to>
      <xdr:col>23</xdr:col>
      <xdr:colOff>304800</xdr:colOff>
      <xdr:row>27</xdr:row>
      <xdr:rowOff>114300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8E4D1D8A-3B24-476E-A2A4-0C6E5EA5D42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52860" y="3378200"/>
              <a:ext cx="287274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464820</xdr:colOff>
      <xdr:row>44</xdr:row>
      <xdr:rowOff>167641</xdr:rowOff>
    </xdr:from>
    <xdr:to>
      <xdr:col>23</xdr:col>
      <xdr:colOff>213360</xdr:colOff>
      <xdr:row>54</xdr:row>
      <xdr:rowOff>68580</xdr:rowOff>
    </xdr:to>
    <mc:AlternateContent xmlns:mc="http://schemas.openxmlformats.org/markup-compatibility/2006" xmlns:a14="http://schemas.microsoft.com/office/drawing/2010/main">
      <mc:Choice Requires="a14">
        <xdr:graphicFrame macro="">
          <xdr:nvGraphicFramePr>
            <xdr:cNvPr id="21" name="Payment_Mode 1">
              <a:extLst>
                <a:ext uri="{FF2B5EF4-FFF2-40B4-BE49-F238E27FC236}">
                  <a16:creationId xmlns:a16="http://schemas.microsoft.com/office/drawing/2014/main" id="{5BF1C743-3F3B-414E-9899-1BE1DA518D0E}"/>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1437620" y="7990841"/>
              <a:ext cx="2796540" cy="1678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27</xdr:row>
      <xdr:rowOff>121921</xdr:rowOff>
    </xdr:from>
    <xdr:to>
      <xdr:col>23</xdr:col>
      <xdr:colOff>304800</xdr:colOff>
      <xdr:row>33</xdr:row>
      <xdr:rowOff>91440</xdr:rowOff>
    </xdr:to>
    <mc:AlternateContent xmlns:mc="http://schemas.openxmlformats.org/markup-compatibility/2006" xmlns:a14="http://schemas.microsoft.com/office/drawing/2010/main">
      <mc:Choice Requires="a14">
        <xdr:graphicFrame macro="">
          <xdr:nvGraphicFramePr>
            <xdr:cNvPr id="22" name="Sales_Channel 1">
              <a:extLst>
                <a:ext uri="{FF2B5EF4-FFF2-40B4-BE49-F238E27FC236}">
                  <a16:creationId xmlns:a16="http://schemas.microsoft.com/office/drawing/2014/main" id="{BD256A7F-3D86-4B7B-A83E-13B11C12D26C}"/>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1452860" y="4922521"/>
              <a:ext cx="2872740" cy="103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601980</xdr:colOff>
      <xdr:row>15</xdr:row>
      <xdr:rowOff>137160</xdr:rowOff>
    </xdr:from>
    <xdr:to>
      <xdr:col>23</xdr:col>
      <xdr:colOff>121920</xdr:colOff>
      <xdr:row>18</xdr:row>
      <xdr:rowOff>91440</xdr:rowOff>
    </xdr:to>
    <xdr:sp macro="" textlink="">
      <xdr:nvSpPr>
        <xdr:cNvPr id="23" name="Rectangle: Rounded Corners 22">
          <a:extLst>
            <a:ext uri="{FF2B5EF4-FFF2-40B4-BE49-F238E27FC236}">
              <a16:creationId xmlns:a16="http://schemas.microsoft.com/office/drawing/2014/main" id="{E1751448-38F8-4196-9E25-A2A6F6566144}"/>
            </a:ext>
          </a:extLst>
        </xdr:cNvPr>
        <xdr:cNvSpPr/>
      </xdr:nvSpPr>
      <xdr:spPr>
        <a:xfrm>
          <a:off x="11574780" y="2880360"/>
          <a:ext cx="2567940" cy="50292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ptos Black" panose="020B0004020202020204" pitchFamily="34" charset="0"/>
            </a:rPr>
            <a:t>Rigion</a:t>
          </a:r>
          <a:r>
            <a:rPr lang="en-IN" sz="1100" baseline="0">
              <a:latin typeface="Aptos Black" panose="020B0004020202020204" pitchFamily="34" charset="0"/>
            </a:rPr>
            <a:t> wise and channe wise slicer</a:t>
          </a:r>
          <a:endParaRPr lang="en-IN" sz="1100">
            <a:latin typeface="Aptos Black" panose="020B0004020202020204" pitchFamily="34" charset="0"/>
          </a:endParaRPr>
        </a:p>
      </xdr:txBody>
    </xdr:sp>
    <xdr:clientData/>
  </xdr:twoCellAnchor>
  <xdr:twoCellAnchor>
    <xdr:from>
      <xdr:col>10</xdr:col>
      <xdr:colOff>30480</xdr:colOff>
      <xdr:row>44</xdr:row>
      <xdr:rowOff>0</xdr:rowOff>
    </xdr:from>
    <xdr:to>
      <xdr:col>12</xdr:col>
      <xdr:colOff>350520</xdr:colOff>
      <xdr:row>45</xdr:row>
      <xdr:rowOff>144780</xdr:rowOff>
    </xdr:to>
    <xdr:sp macro="" textlink="">
      <xdr:nvSpPr>
        <xdr:cNvPr id="24" name="Rectangle: Rounded Corners 23">
          <a:extLst>
            <a:ext uri="{FF2B5EF4-FFF2-40B4-BE49-F238E27FC236}">
              <a16:creationId xmlns:a16="http://schemas.microsoft.com/office/drawing/2014/main" id="{B7F0A968-B6EA-4DA8-8093-6A976B699C18}"/>
            </a:ext>
          </a:extLst>
        </xdr:cNvPr>
        <xdr:cNvSpPr/>
      </xdr:nvSpPr>
      <xdr:spPr>
        <a:xfrm>
          <a:off x="6126480" y="8046720"/>
          <a:ext cx="1539240" cy="32766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ptos Black" panose="020B0004020202020204" pitchFamily="34" charset="0"/>
            </a:rPr>
            <a:t>Profit by rigion</a:t>
          </a:r>
        </a:p>
      </xdr:txBody>
    </xdr:sp>
    <xdr:clientData/>
  </xdr:twoCellAnchor>
  <xdr:twoCellAnchor>
    <xdr:from>
      <xdr:col>18</xdr:col>
      <xdr:colOff>556260</xdr:colOff>
      <xdr:row>42</xdr:row>
      <xdr:rowOff>38100</xdr:rowOff>
    </xdr:from>
    <xdr:to>
      <xdr:col>23</xdr:col>
      <xdr:colOff>160020</xdr:colOff>
      <xdr:row>44</xdr:row>
      <xdr:rowOff>0</xdr:rowOff>
    </xdr:to>
    <xdr:sp macro="" textlink="">
      <xdr:nvSpPr>
        <xdr:cNvPr id="27" name="Rectangle: Rounded Corners 26">
          <a:extLst>
            <a:ext uri="{FF2B5EF4-FFF2-40B4-BE49-F238E27FC236}">
              <a16:creationId xmlns:a16="http://schemas.microsoft.com/office/drawing/2014/main" id="{1BF3D830-7CFF-4FD3-9EE7-D6DA55F5E4BC}"/>
            </a:ext>
          </a:extLst>
        </xdr:cNvPr>
        <xdr:cNvSpPr/>
      </xdr:nvSpPr>
      <xdr:spPr>
        <a:xfrm>
          <a:off x="11529060" y="7719060"/>
          <a:ext cx="2651760" cy="327660"/>
        </a:xfrm>
        <a:prstGeom prst="roundRect">
          <a:avLst/>
        </a:prstGeom>
        <a:gradFill>
          <a:gsLst>
            <a:gs pos="0">
              <a:schemeClr val="bg1">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ptos Black" panose="020B0004020202020204" pitchFamily="34" charset="0"/>
            </a:rPr>
            <a:t>Payment wise</a:t>
          </a:r>
          <a:r>
            <a:rPr lang="en-IN" sz="1100" baseline="0">
              <a:latin typeface="Aptos Black" panose="020B0004020202020204" pitchFamily="34" charset="0"/>
            </a:rPr>
            <a:t> slicer</a:t>
          </a:r>
          <a:endParaRPr lang="en-IN" sz="1100">
            <a:latin typeface="Aptos Black"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350520</xdr:colOff>
      <xdr:row>4</xdr:row>
      <xdr:rowOff>64770</xdr:rowOff>
    </xdr:from>
    <xdr:to>
      <xdr:col>8</xdr:col>
      <xdr:colOff>182880</xdr:colOff>
      <xdr:row>19</xdr:row>
      <xdr:rowOff>64770</xdr:rowOff>
    </xdr:to>
    <xdr:graphicFrame macro="">
      <xdr:nvGraphicFramePr>
        <xdr:cNvPr id="2" name="Chart 1">
          <a:extLst>
            <a:ext uri="{FF2B5EF4-FFF2-40B4-BE49-F238E27FC236}">
              <a16:creationId xmlns:a16="http://schemas.microsoft.com/office/drawing/2014/main" id="{488ACD55-CF63-1889-DF6B-7238CFCA0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457200</xdr:colOff>
      <xdr:row>12</xdr:row>
      <xdr:rowOff>160020</xdr:rowOff>
    </xdr:from>
    <xdr:to>
      <xdr:col>2</xdr:col>
      <xdr:colOff>289560</xdr:colOff>
      <xdr:row>26</xdr:row>
      <xdr:rowOff>66675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C556864-87BE-404B-26A2-6F85F0CA38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0" y="2354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449580</xdr:colOff>
      <xdr:row>20</xdr:row>
      <xdr:rowOff>7620</xdr:rowOff>
    </xdr:from>
    <xdr:to>
      <xdr:col>9</xdr:col>
      <xdr:colOff>449580</xdr:colOff>
      <xdr:row>33</xdr:row>
      <xdr:rowOff>97155</xdr:rowOff>
    </xdr:to>
    <mc:AlternateContent xmlns:mc="http://schemas.openxmlformats.org/markup-compatibility/2006" xmlns:a14="http://schemas.microsoft.com/office/drawing/2010/main">
      <mc:Choice Requires="a14">
        <xdr:graphicFrame macro="">
          <xdr:nvGraphicFramePr>
            <xdr:cNvPr id="11" name="Sales_Channel">
              <a:extLst>
                <a:ext uri="{FF2B5EF4-FFF2-40B4-BE49-F238E27FC236}">
                  <a16:creationId xmlns:a16="http://schemas.microsoft.com/office/drawing/2014/main" id="{AF466DC3-BA87-2A8A-3F39-E419F6E495F5}"/>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5966460" y="3665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19</xdr:row>
      <xdr:rowOff>114300</xdr:rowOff>
    </xdr:from>
    <xdr:to>
      <xdr:col>6</xdr:col>
      <xdr:colOff>327660</xdr:colOff>
      <xdr:row>33</xdr:row>
      <xdr:rowOff>20955</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3F41500F-8C78-7BC2-1494-7E4447B4A58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015740" y="3589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990600</xdr:colOff>
      <xdr:row>7</xdr:row>
      <xdr:rowOff>144780</xdr:rowOff>
    </xdr:from>
    <xdr:to>
      <xdr:col>8</xdr:col>
      <xdr:colOff>457200</xdr:colOff>
      <xdr:row>14</xdr:row>
      <xdr:rowOff>144780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807630C8-9432-1CC2-D1C5-886761F50B8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817620" y="1424940"/>
              <a:ext cx="337566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342900</xdr:colOff>
      <xdr:row>12</xdr:row>
      <xdr:rowOff>72390</xdr:rowOff>
    </xdr:from>
    <xdr:to>
      <xdr:col>11</xdr:col>
      <xdr:colOff>449580</xdr:colOff>
      <xdr:row>27</xdr:row>
      <xdr:rowOff>72390</xdr:rowOff>
    </xdr:to>
    <xdr:graphicFrame macro="">
      <xdr:nvGraphicFramePr>
        <xdr:cNvPr id="3" name="Chart 2">
          <a:extLst>
            <a:ext uri="{FF2B5EF4-FFF2-40B4-BE49-F238E27FC236}">
              <a16:creationId xmlns:a16="http://schemas.microsoft.com/office/drawing/2014/main" id="{311C8D4A-09D6-CFEF-5FA6-B6D94EE2B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212835</xdr:colOff>
      <xdr:row>6</xdr:row>
      <xdr:rowOff>63062</xdr:rowOff>
    </xdr:from>
    <xdr:to>
      <xdr:col>6</xdr:col>
      <xdr:colOff>23649</xdr:colOff>
      <xdr:row>21</xdr:row>
      <xdr:rowOff>47296</xdr:rowOff>
    </xdr:to>
    <xdr:graphicFrame macro="">
      <xdr:nvGraphicFramePr>
        <xdr:cNvPr id="4" name="Chart 3">
          <a:extLst>
            <a:ext uri="{FF2B5EF4-FFF2-40B4-BE49-F238E27FC236}">
              <a16:creationId xmlns:a16="http://schemas.microsoft.com/office/drawing/2014/main" id="{BDA4A990-A438-EA0F-81A9-35273217D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472440</xdr:colOff>
      <xdr:row>13</xdr:row>
      <xdr:rowOff>140970</xdr:rowOff>
    </xdr:from>
    <xdr:to>
      <xdr:col>9</xdr:col>
      <xdr:colOff>91440</xdr:colOff>
      <xdr:row>28</xdr:row>
      <xdr:rowOff>140970</xdr:rowOff>
    </xdr:to>
    <xdr:graphicFrame macro="">
      <xdr:nvGraphicFramePr>
        <xdr:cNvPr id="2" name="Chart 1">
          <a:extLst>
            <a:ext uri="{FF2B5EF4-FFF2-40B4-BE49-F238E27FC236}">
              <a16:creationId xmlns:a16="http://schemas.microsoft.com/office/drawing/2014/main" id="{A663A915-ECF3-803A-8F43-43ABB548B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410817</xdr:colOff>
      <xdr:row>16</xdr:row>
      <xdr:rowOff>43070</xdr:rowOff>
    </xdr:from>
    <xdr:to>
      <xdr:col>10</xdr:col>
      <xdr:colOff>561229</xdr:colOff>
      <xdr:row>29</xdr:row>
      <xdr:rowOff>19878</xdr:rowOff>
    </xdr:to>
    <xdr:graphicFrame macro="">
      <xdr:nvGraphicFramePr>
        <xdr:cNvPr id="2" name="Chart 1">
          <a:extLst>
            <a:ext uri="{FF2B5EF4-FFF2-40B4-BE49-F238E27FC236}">
              <a16:creationId xmlns:a16="http://schemas.microsoft.com/office/drawing/2014/main" id="{F76604C9-9385-013B-A5EB-F78F928F9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443753</xdr:colOff>
      <xdr:row>12</xdr:row>
      <xdr:rowOff>62753</xdr:rowOff>
    </xdr:from>
    <xdr:to>
      <xdr:col>8</xdr:col>
      <xdr:colOff>479612</xdr:colOff>
      <xdr:row>16</xdr:row>
      <xdr:rowOff>618564</xdr:rowOff>
    </xdr:to>
    <xdr:graphicFrame macro="">
      <xdr:nvGraphicFramePr>
        <xdr:cNvPr id="2" name="Chart 1">
          <a:extLst>
            <a:ext uri="{FF2B5EF4-FFF2-40B4-BE49-F238E27FC236}">
              <a16:creationId xmlns:a16="http://schemas.microsoft.com/office/drawing/2014/main" id="{90808A5A-4231-D537-BC19-3A783C1E8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762000</xdr:colOff>
      <xdr:row>11</xdr:row>
      <xdr:rowOff>163830</xdr:rowOff>
    </xdr:from>
    <xdr:to>
      <xdr:col>8</xdr:col>
      <xdr:colOff>281940</xdr:colOff>
      <xdr:row>26</xdr:row>
      <xdr:rowOff>163830</xdr:rowOff>
    </xdr:to>
    <xdr:graphicFrame macro="">
      <xdr:nvGraphicFramePr>
        <xdr:cNvPr id="2" name="Chart 1">
          <a:extLst>
            <a:ext uri="{FF2B5EF4-FFF2-40B4-BE49-F238E27FC236}">
              <a16:creationId xmlns:a16="http://schemas.microsoft.com/office/drawing/2014/main" id="{CA1F8D9D-57EE-5A3A-871F-8DBF9B634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hanzala Shaikh" refreshedDate="46291.464716319446" missingItemsLimit="0" createdVersion="8" refreshedVersion="8" minRefreshableVersion="3" recordCount="400" xr:uid="{080677C6-11A7-4549-B903-3406C1D9AF7E}">
  <cacheSource type="worksheet">
    <worksheetSource name="Table1"/>
  </cacheSource>
  <cacheFields count="29">
    <cacheField name="Order_ID" numFmtId="0">
      <sharedItems/>
    </cacheField>
    <cacheField name="Order_Date" numFmtId="14">
      <sharedItems containsSemiMixedTypes="0" containsNonDate="0" containsDate="1" containsString="0" minDate="2025-01-01T00:00:00" maxDate="2026-01-01T00:00:00" count="245">
        <d v="2025-05-02T00:00:00"/>
        <d v="2025-07-11T00:00:00"/>
        <d v="2025-07-07T00:00:00"/>
        <d v="2025-01-21T00:00:00"/>
        <d v="2025-09-21T00:00:00"/>
        <d v="2025-08-06T00:00:00"/>
        <d v="2025-10-07T00:00:00"/>
        <d v="2025-05-16T00:00:00"/>
        <d v="2025-05-15T00:00:00"/>
        <d v="2025-05-11T00:00:00"/>
        <d v="2025-12-18T00:00:00"/>
        <d v="2025-10-11T00:00:00"/>
        <d v="2025-12-14T00:00:00"/>
        <d v="2025-06-14T00:00:00"/>
        <d v="2025-02-21T00:00:00"/>
        <d v="2025-08-12T00:00:00"/>
        <d v="2025-09-12T00:00:00"/>
        <d v="2025-12-15T00:00:00"/>
        <d v="2025-05-08T00:00:00"/>
        <d v="2025-05-24T00:00:00"/>
        <d v="2025-10-31T00:00:00"/>
        <d v="2025-09-11T00:00:00"/>
        <d v="2025-10-16T00:00:00"/>
        <d v="2025-01-22T00:00:00"/>
        <d v="2025-11-13T00:00:00"/>
        <d v="2025-08-21T00:00:00"/>
        <d v="2025-05-07T00:00:00"/>
        <d v="2025-01-13T00:00:00"/>
        <d v="2025-04-02T00:00:00"/>
        <d v="2025-11-01T00:00:00"/>
        <d v="2025-07-15T00:00:00"/>
        <d v="2025-11-15T00:00:00"/>
        <d v="2025-09-04T00:00:00"/>
        <d v="2025-07-23T00:00:00"/>
        <d v="2025-04-10T00:00:00"/>
        <d v="2025-06-09T00:00:00"/>
        <d v="2025-06-17T00:00:00"/>
        <d v="2025-03-31T00:00:00"/>
        <d v="2025-12-23T00:00:00"/>
        <d v="2025-09-25T00:00:00"/>
        <d v="2025-06-26T00:00:00"/>
        <d v="2025-07-05T00:00:00"/>
        <d v="2025-09-10T00:00:00"/>
        <d v="2025-12-31T00:00:00"/>
        <d v="2025-07-01T00:00:00"/>
        <d v="2025-02-27T00:00:00"/>
        <d v="2025-01-20T00:00:00"/>
        <d v="2025-11-26T00:00:00"/>
        <d v="2025-01-28T00:00:00"/>
        <d v="2025-02-04T00:00:00"/>
        <d v="2025-04-08T00:00:00"/>
        <d v="2025-02-22T00:00:00"/>
        <d v="2025-10-15T00:00:00"/>
        <d v="2025-08-24T00:00:00"/>
        <d v="2025-08-14T00:00:00"/>
        <d v="2025-01-30T00:00:00"/>
        <d v="2025-07-24T00:00:00"/>
        <d v="2025-07-14T00:00:00"/>
        <d v="2025-11-22T00:00:00"/>
        <d v="2025-05-01T00:00:00"/>
        <d v="2025-07-26T00:00:00"/>
        <d v="2025-08-26T00:00:00"/>
        <d v="2025-05-06T00:00:00"/>
        <d v="2025-02-03T00:00:00"/>
        <d v="2025-08-31T00:00:00"/>
        <d v="2025-03-03T00:00:00"/>
        <d v="2025-08-13T00:00:00"/>
        <d v="2025-06-27T00:00:00"/>
        <d v="2025-02-07T00:00:00"/>
        <d v="2025-05-05T00:00:00"/>
        <d v="2025-02-08T00:00:00"/>
        <d v="2025-06-06T00:00:00"/>
        <d v="2025-04-28T00:00:00"/>
        <d v="2025-05-10T00:00:00"/>
        <d v="2025-05-14T00:00:00"/>
        <d v="2025-11-12T00:00:00"/>
        <d v="2025-02-20T00:00:00"/>
        <d v="2025-01-01T00:00:00"/>
        <d v="2025-10-18T00:00:00"/>
        <d v="2025-06-28T00:00:00"/>
        <d v="2025-02-18T00:00:00"/>
        <d v="2025-07-30T00:00:00"/>
        <d v="2025-07-13T00:00:00"/>
        <d v="2025-06-11T00:00:00"/>
        <d v="2025-11-24T00:00:00"/>
        <d v="2025-02-05T00:00:00"/>
        <d v="2025-10-20T00:00:00"/>
        <d v="2025-02-28T00:00:00"/>
        <d v="2025-01-04T00:00:00"/>
        <d v="2025-12-29T00:00:00"/>
        <d v="2025-08-20T00:00:00"/>
        <d v="2025-12-03T00:00:00"/>
        <d v="2025-01-25T00:00:00"/>
        <d v="2025-07-17T00:00:00"/>
        <d v="2025-10-09T00:00:00"/>
        <d v="2025-03-23T00:00:00"/>
        <d v="2025-10-28T00:00:00"/>
        <d v="2025-07-29T00:00:00"/>
        <d v="2025-04-06T00:00:00"/>
        <d v="2025-09-23T00:00:00"/>
        <d v="2025-05-26T00:00:00"/>
        <d v="2025-03-02T00:00:00"/>
        <d v="2025-05-28T00:00:00"/>
        <d v="2025-09-19T00:00:00"/>
        <d v="2025-12-04T00:00:00"/>
        <d v="2025-09-24T00:00:00"/>
        <d v="2025-03-22T00:00:00"/>
        <d v="2025-12-22T00:00:00"/>
        <d v="2025-04-23T00:00:00"/>
        <d v="2025-07-12T00:00:00"/>
        <d v="2025-02-02T00:00:00"/>
        <d v="2025-05-25T00:00:00"/>
        <d v="2025-02-15T00:00:00"/>
        <d v="2025-04-27T00:00:00"/>
        <d v="2025-06-15T00:00:00"/>
        <d v="2025-03-25T00:00:00"/>
        <d v="2025-01-12T00:00:00"/>
        <d v="2025-07-02T00:00:00"/>
        <d v="2025-08-16T00:00:00"/>
        <d v="2025-02-09T00:00:00"/>
        <d v="2025-10-30T00:00:00"/>
        <d v="2025-06-20T00:00:00"/>
        <d v="2025-04-30T00:00:00"/>
        <d v="2025-10-03T00:00:00"/>
        <d v="2025-10-21T00:00:00"/>
        <d v="2025-01-26T00:00:00"/>
        <d v="2025-03-10T00:00:00"/>
        <d v="2025-11-20T00:00:00"/>
        <d v="2025-11-06T00:00:00"/>
        <d v="2025-12-30T00:00:00"/>
        <d v="2025-10-02T00:00:00"/>
        <d v="2025-10-25T00:00:00"/>
        <d v="2025-03-18T00:00:00"/>
        <d v="2025-03-14T00:00:00"/>
        <d v="2025-05-29T00:00:00"/>
        <d v="2025-07-28T00:00:00"/>
        <d v="2025-04-16T00:00:00"/>
        <d v="2025-11-19T00:00:00"/>
        <d v="2025-08-27T00:00:00"/>
        <d v="2025-06-12T00:00:00"/>
        <d v="2025-06-13T00:00:00"/>
        <d v="2025-03-21T00:00:00"/>
        <d v="2025-08-19T00:00:00"/>
        <d v="2025-05-13T00:00:00"/>
        <d v="2025-08-30T00:00:00"/>
        <d v="2025-02-11T00:00:00"/>
        <d v="2025-03-28T00:00:00"/>
        <d v="2025-09-15T00:00:00"/>
        <d v="2025-06-02T00:00:00"/>
        <d v="2025-12-26T00:00:00"/>
        <d v="2025-10-10T00:00:00"/>
        <d v="2025-01-19T00:00:00"/>
        <d v="2025-01-03T00:00:00"/>
        <d v="2025-03-07T00:00:00"/>
        <d v="2025-08-15T00:00:00"/>
        <d v="2025-04-29T00:00:00"/>
        <d v="2025-06-07T00:00:00"/>
        <d v="2025-09-08T00:00:00"/>
        <d v="2025-02-16T00:00:00"/>
        <d v="2025-12-16T00:00:00"/>
        <d v="2025-03-11T00:00:00"/>
        <d v="2025-01-07T00:00:00"/>
        <d v="2025-05-22T00:00:00"/>
        <d v="2025-06-10T00:00:00"/>
        <d v="2025-03-27T00:00:00"/>
        <d v="2025-10-04T00:00:00"/>
        <d v="2025-10-06T00:00:00"/>
        <d v="2025-03-26T00:00:00"/>
        <d v="2025-09-03T00:00:00"/>
        <d v="2025-04-12T00:00:00"/>
        <d v="2025-05-19T00:00:00"/>
        <d v="2025-07-20T00:00:00"/>
        <d v="2025-10-08T00:00:00"/>
        <d v="2025-06-22T00:00:00"/>
        <d v="2025-02-10T00:00:00"/>
        <d v="2025-08-29T00:00:00"/>
        <d v="2025-09-22T00:00:00"/>
        <d v="2025-05-27T00:00:00"/>
        <d v="2025-08-28T00:00:00"/>
        <d v="2025-10-23T00:00:00"/>
        <d v="2025-11-09T00:00:00"/>
        <d v="2025-11-21T00:00:00"/>
        <d v="2025-03-08T00:00:00"/>
        <d v="2025-09-02T00:00:00"/>
        <d v="2025-10-12T00:00:00"/>
        <d v="2025-09-30T00:00:00"/>
        <d v="2025-07-03T00:00:00"/>
        <d v="2025-08-07T00:00:00"/>
        <d v="2025-09-17T00:00:00"/>
        <d v="2025-05-03T00:00:00"/>
        <d v="2025-04-21T00:00:00"/>
        <d v="2025-09-26T00:00:00"/>
        <d v="2025-11-16T00:00:00"/>
        <d v="2025-05-21T00:00:00"/>
        <d v="2025-08-05T00:00:00"/>
        <d v="2025-12-21T00:00:00"/>
        <d v="2025-01-16T00:00:00"/>
        <d v="2025-09-20T00:00:00"/>
        <d v="2025-08-23T00:00:00"/>
        <d v="2025-01-29T00:00:00"/>
        <d v="2025-11-17T00:00:00"/>
        <d v="2025-01-05T00:00:00"/>
        <d v="2025-04-03T00:00:00"/>
        <d v="2025-06-18T00:00:00"/>
        <d v="2025-11-07T00:00:00"/>
        <d v="2025-06-19T00:00:00"/>
        <d v="2025-04-09T00:00:00"/>
        <d v="2025-08-25T00:00:00"/>
        <d v="2025-07-08T00:00:00"/>
        <d v="2025-07-31T00:00:00"/>
        <d v="2025-11-10T00:00:00"/>
        <d v="2025-01-09T00:00:00"/>
        <d v="2025-06-16T00:00:00"/>
        <d v="2025-12-05T00:00:00"/>
        <d v="2025-03-30T00:00:00"/>
        <d v="2025-03-24T00:00:00"/>
        <d v="2025-04-07T00:00:00"/>
        <d v="2025-12-27T00:00:00"/>
        <d v="2025-06-03T00:00:00"/>
        <d v="2025-11-18T00:00:00"/>
        <d v="2025-10-05T00:00:00"/>
        <d v="2025-05-18T00:00:00"/>
        <d v="2025-12-07T00:00:00"/>
        <d v="2025-03-04T00:00:00"/>
        <d v="2025-08-02T00:00:00"/>
        <d v="2025-04-25T00:00:00"/>
        <d v="2025-06-24T00:00:00"/>
        <d v="2025-07-25T00:00:00"/>
        <d v="2025-11-28T00:00:00"/>
        <d v="2025-10-27T00:00:00"/>
        <d v="2025-01-14T00:00:00"/>
        <d v="2025-12-11T00:00:00"/>
        <d v="2025-03-05T00:00:00"/>
        <d v="2025-08-04T00:00:00"/>
        <d v="2025-04-11T00:00:00"/>
        <d v="2025-01-18T00:00:00"/>
        <d v="2025-12-12T00:00:00"/>
        <d v="2025-11-11T00:00:00"/>
        <d v="2025-04-04T00:00:00"/>
        <d v="2025-03-13T00:00:00"/>
        <d v="2025-08-09T00:00:00"/>
        <d v="2025-07-27T00:00:00"/>
        <d v="2025-04-15T00:00:00"/>
        <d v="2025-05-23T00:00:00"/>
        <d v="2025-04-01T00:00:00"/>
      </sharedItems>
      <fieldGroup par="24"/>
    </cacheField>
    <cacheField name="Customer_ID" numFmtId="0">
      <sharedItems/>
    </cacheField>
    <cacheField name="Customer_Name" numFmtId="0">
      <sharedItems count="101">
        <s v="Customer_87"/>
        <s v="Customer_21"/>
        <s v="Customer_15"/>
        <s v="Customer_39"/>
        <s v="Customer_35"/>
        <s v="Customer_34"/>
        <s v="Customer_89"/>
        <s v="Customer_63"/>
        <s v="Customer_72"/>
        <s v="Customer_5"/>
        <s v="Customer_96"/>
        <s v="Customer_42"/>
        <s v="Customer_62"/>
        <s v="Customer_51"/>
        <s v="Customer_1"/>
        <s v="Customer_24"/>
        <s v="Unknown"/>
        <s v="Customer_82"/>
        <s v="Customer_60"/>
        <s v="Customer_3"/>
        <s v="Customer_38"/>
        <s v="Customer_19"/>
        <s v="Customer_25"/>
        <s v="Customer_2"/>
        <s v="Customer_7"/>
        <s v="Customer_66"/>
        <s v="Customer_92"/>
        <s v="Customer_76"/>
        <s v="Customer_90"/>
        <s v="Customer_52"/>
        <s v="Customer_84"/>
        <s v="Customer_43"/>
        <s v="Customer_13"/>
        <s v="Customer_12"/>
        <s v="Customer_99"/>
        <s v="Customer_14"/>
        <s v="Customer_46"/>
        <s v="Customer_86"/>
        <s v="Customer_91"/>
        <s v="Customer_45"/>
        <s v="Customer_18"/>
        <s v="Customer_16"/>
        <s v="Customer_41"/>
        <s v="Customer_74"/>
        <s v="Customer_94"/>
        <s v="Customer_50"/>
        <s v="Customer_81"/>
        <s v="Customer_75"/>
        <s v="Customer_93"/>
        <s v="Customer_56"/>
        <s v="Customer_40"/>
        <s v="Customer_33"/>
        <s v="Customer_83"/>
        <s v="Customer_97"/>
        <s v="Customer_70"/>
        <s v="Customer_57"/>
        <s v="Customer_95"/>
        <s v="Customer_23"/>
        <s v="Customer_78"/>
        <s v="Customer_54"/>
        <s v="Customer_32"/>
        <s v="Customer_67"/>
        <s v="Customer_85"/>
        <s v="Customer_58"/>
        <s v="Customer_37"/>
        <s v="Customer_53"/>
        <s v="Customer_98"/>
        <s v="Customer_17"/>
        <s v="Customer_79"/>
        <s v="Customer_27"/>
        <s v="Customer_30"/>
        <s v="Customer_29"/>
        <s v="Customer_88"/>
        <s v="Customer_11"/>
        <s v="Customer_61"/>
        <s v="Customer_47"/>
        <s v="Customer_4"/>
        <s v="Customer_44"/>
        <s v="Customer_26"/>
        <s v="Customer_49"/>
        <s v="Customer_36"/>
        <s v="Customer_68"/>
        <s v="Customer_31"/>
        <s v="Customer_64"/>
        <s v="Customer_28"/>
        <s v="Customer_77"/>
        <s v="Customer_100"/>
        <s v="Customer_73"/>
        <s v="Customer_55"/>
        <s v="Customer_59"/>
        <s v="Customer_9"/>
        <s v="Customer_20"/>
        <s v="Customer_10"/>
        <s v="Customer_6"/>
        <s v="Customer_65"/>
        <s v="Customer_8"/>
        <s v="Customer_48"/>
        <s v="Customer_71"/>
        <s v="Customer_69"/>
        <s v="Customer_22"/>
        <s v="Customer_80"/>
      </sharedItems>
    </cacheField>
    <cacheField name="Region" numFmtId="0">
      <sharedItems count="4">
        <s v="East"/>
        <s v="West"/>
        <s v="South"/>
        <s v="North"/>
      </sharedItems>
    </cacheField>
    <cacheField name="Sales_Channel" numFmtId="0">
      <sharedItems count="2">
        <s v="Online"/>
        <s v="Store"/>
      </sharedItems>
    </cacheField>
    <cacheField name="Salesperson2" numFmtId="0">
      <sharedItems count="8">
        <s v="Pooja"/>
        <s v="Priya"/>
        <s v="Arjun"/>
        <s v="Amit"/>
        <s v="Neha"/>
        <s v="Vikas"/>
        <s v="Rahul"/>
        <s v="Sneha"/>
      </sharedItems>
    </cacheField>
    <cacheField name="Category" numFmtId="0">
      <sharedItems count="4">
        <s v="Home &amp; Kitchen"/>
        <s v="Electronics"/>
        <s v="Clothing"/>
        <s v="Furniture"/>
      </sharedItems>
    </cacheField>
    <cacheField name="Product" numFmtId="0">
      <sharedItems count="16">
        <s v="Mixer"/>
        <s v="Air Fryer"/>
        <s v="Laptop"/>
        <s v="Shoes"/>
        <s v="Smartphone"/>
        <s v="Desk"/>
        <s v="Table Lamp"/>
        <s v="T-Shirt"/>
        <s v="Tablet"/>
        <s v="Bedsheet"/>
        <s v="Jacket"/>
        <s v="Cookware Set"/>
        <s v="Bookshelf"/>
        <s v="Headphones"/>
        <s v="Office Chair"/>
        <s v="Jeans"/>
      </sharedItems>
    </cacheField>
    <cacheField name="Quantity" numFmtId="0">
      <sharedItems containsSemiMixedTypes="0" containsString="0" containsNumber="1" containsInteger="1" minValue="1" maxValue="30"/>
    </cacheField>
    <cacheField name="Unit_Price" numFmtId="0">
      <sharedItems containsSemiMixedTypes="0" containsString="0" containsNumber="1" containsInteger="1" minValue="356" maxValue="74750"/>
    </cacheField>
    <cacheField name="Discount" numFmtId="0">
      <sharedItems containsSemiMixedTypes="0" containsString="0" containsNumber="1" minValue="0" maxValue="0.6"/>
    </cacheField>
    <cacheField name="Revenue" numFmtId="0">
      <sharedItems containsSemiMixedTypes="0" containsString="0" containsNumber="1" minValue="519" maxValue="526536"/>
    </cacheField>
    <cacheField name="Cost" numFmtId="0">
      <sharedItems containsSemiMixedTypes="0" containsString="0" containsNumber="1" minValue="417.71" maxValue="354204.51"/>
    </cacheField>
    <cacheField name="Profit" numFmtId="0">
      <sharedItems containsSemiMixedTypes="0" containsString="0" containsNumber="1" minValue="101.29" maxValue="228087.62"/>
    </cacheField>
    <cacheField name="Payment_Mode" numFmtId="0">
      <sharedItems count="4">
        <s v="UPI"/>
        <s v="Card"/>
        <s v="Net Banking"/>
        <s v="Cash"/>
      </sharedItems>
    </cacheField>
    <cacheField name="Customer_Rating" numFmtId="0">
      <sharedItems containsSemiMixedTypes="0" containsString="0" containsNumber="1" containsInteger="1" minValue="1" maxValue="5"/>
    </cacheField>
    <cacheField name="Column1" numFmtId="0">
      <sharedItems/>
    </cacheField>
    <cacheField name="Margin %" numFmtId="0" formula="Profit/Revenue" databaseField="0"/>
    <cacheField name="Profit Margin %" numFmtId="0" formula="Profit/Revenue* 100" databaseField="0"/>
    <cacheField name="region margin" numFmtId="0" formula="Profit/Revenue" databaseField="0"/>
    <cacheField name="mr" numFmtId="0" formula="6680750.25/25173344.7" databaseField="0"/>
    <cacheField name="margin%" numFmtId="0" formula="Profit/Revenue" databaseField="0"/>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Avg" numFmtId="0" formula="Revenue/Order_ID" databaseField="0"/>
    <cacheField name="Field1" numFmtId="0" formula="Profit/Revenue" databaseField="0"/>
    <cacheField name="mar" numFmtId="0" formula="Profit/Revenue" databaseField="0"/>
    <cacheField name="margin" numFmtId="0" formula="Profit /Revenue" databaseField="0"/>
  </cacheFields>
  <extLst>
    <ext xmlns:x14="http://schemas.microsoft.com/office/spreadsheetml/2009/9/main" uri="{725AE2AE-9491-48be-B2B4-4EB974FC3084}">
      <x14:pivotCacheDefinition pivotCacheId="1380135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ORD1001"/>
    <x v="0"/>
    <s v="CUST1083"/>
    <x v="0"/>
    <x v="0"/>
    <x v="0"/>
    <x v="0"/>
    <x v="0"/>
    <x v="0"/>
    <n v="7"/>
    <n v="11060"/>
    <n v="0.2"/>
    <n v="61936"/>
    <n v="46263.75"/>
    <n v="15672.25"/>
    <x v="0"/>
    <n v="4"/>
    <b v="0"/>
  </r>
  <r>
    <s v="ORD1002"/>
    <x v="1"/>
    <s v="CUST1060"/>
    <x v="1"/>
    <x v="1"/>
    <x v="1"/>
    <x v="1"/>
    <x v="0"/>
    <x v="1"/>
    <n v="6"/>
    <n v="1129"/>
    <n v="0.15"/>
    <n v="5757.9"/>
    <n v="4950.2"/>
    <n v="807.7"/>
    <x v="1"/>
    <n v="5"/>
    <b v="0"/>
  </r>
  <r>
    <s v="ORD1003"/>
    <x v="2"/>
    <s v="CUST1080"/>
    <x v="2"/>
    <x v="1"/>
    <x v="1"/>
    <x v="2"/>
    <x v="1"/>
    <x v="2"/>
    <n v="3"/>
    <n v="46199"/>
    <n v="0.05"/>
    <n v="131667.15"/>
    <n v="74444.56"/>
    <n v="57222.59"/>
    <x v="1"/>
    <n v="3"/>
    <b v="0"/>
  </r>
  <r>
    <s v="ORD1004"/>
    <x v="3"/>
    <s v="CUST1073"/>
    <x v="3"/>
    <x v="1"/>
    <x v="1"/>
    <x v="3"/>
    <x v="2"/>
    <x v="3"/>
    <n v="8"/>
    <n v="3947"/>
    <n v="0.2"/>
    <n v="25260.799999999999"/>
    <n v="18957.97"/>
    <n v="6302.83"/>
    <x v="2"/>
    <n v="2"/>
    <b v="0"/>
  </r>
  <r>
    <s v="ORD1005"/>
    <x v="4"/>
    <s v="CUST1047"/>
    <x v="4"/>
    <x v="2"/>
    <x v="0"/>
    <x v="4"/>
    <x v="1"/>
    <x v="4"/>
    <n v="5"/>
    <n v="17932"/>
    <n v="0.15"/>
    <n v="76211"/>
    <n v="52985.72"/>
    <n v="23225.279999999999"/>
    <x v="1"/>
    <n v="4"/>
    <b v="0"/>
  </r>
  <r>
    <s v="ORD1006"/>
    <x v="5"/>
    <s v="CUST1044"/>
    <x v="5"/>
    <x v="2"/>
    <x v="1"/>
    <x v="4"/>
    <x v="3"/>
    <x v="5"/>
    <n v="6"/>
    <n v="13894"/>
    <n v="0.25"/>
    <n v="62523"/>
    <n v="35033.72"/>
    <n v="27489.279999999999"/>
    <x v="1"/>
    <n v="4"/>
    <b v="0"/>
  </r>
  <r>
    <s v="ORD1007"/>
    <x v="6"/>
    <s v="CUST1026"/>
    <x v="6"/>
    <x v="3"/>
    <x v="1"/>
    <x v="4"/>
    <x v="3"/>
    <x v="6"/>
    <n v="5"/>
    <n v="10023"/>
    <n v="0.05"/>
    <n v="47609.25"/>
    <n v="34664.22"/>
    <n v="12945.03"/>
    <x v="0"/>
    <n v="1"/>
    <b v="0"/>
  </r>
  <r>
    <s v="ORD1008"/>
    <x v="7"/>
    <s v="CUST1088"/>
    <x v="7"/>
    <x v="3"/>
    <x v="0"/>
    <x v="3"/>
    <x v="2"/>
    <x v="7"/>
    <n v="1"/>
    <n v="519"/>
    <n v="0"/>
    <n v="519"/>
    <n v="417.71"/>
    <n v="101.29"/>
    <x v="2"/>
    <n v="3"/>
    <b v="0"/>
  </r>
  <r>
    <s v="ORD1009"/>
    <x v="8"/>
    <s v="CUST1073"/>
    <x v="8"/>
    <x v="0"/>
    <x v="1"/>
    <x v="3"/>
    <x v="1"/>
    <x v="8"/>
    <n v="5"/>
    <n v="69532"/>
    <n v="0.05"/>
    <n v="330277"/>
    <n v="194281.08"/>
    <n v="135995.92000000001"/>
    <x v="2"/>
    <n v="5"/>
    <b v="0"/>
  </r>
  <r>
    <s v="ORD1010"/>
    <x v="9"/>
    <s v="CUST1001"/>
    <x v="9"/>
    <x v="0"/>
    <x v="0"/>
    <x v="2"/>
    <x v="0"/>
    <x v="9"/>
    <n v="6"/>
    <n v="13342"/>
    <n v="0"/>
    <n v="80052"/>
    <n v="54144.44"/>
    <n v="25907.56"/>
    <x v="1"/>
    <n v="3"/>
    <b v="0"/>
  </r>
  <r>
    <s v="ORD1011"/>
    <x v="10"/>
    <s v="CUST1052"/>
    <x v="10"/>
    <x v="3"/>
    <x v="1"/>
    <x v="5"/>
    <x v="2"/>
    <x v="10"/>
    <n v="2"/>
    <n v="593"/>
    <n v="0.2"/>
    <n v="948.8"/>
    <n v="585"/>
    <n v="363.8"/>
    <x v="3"/>
    <n v="5"/>
    <b v="0"/>
  </r>
  <r>
    <s v="ORD1012"/>
    <x v="11"/>
    <s v="CUST1066"/>
    <x v="11"/>
    <x v="0"/>
    <x v="1"/>
    <x v="3"/>
    <x v="2"/>
    <x v="7"/>
    <n v="4"/>
    <n v="7566"/>
    <n v="0.1"/>
    <n v="27237.599999999999"/>
    <n v="21225.69"/>
    <n v="6011.91"/>
    <x v="0"/>
    <n v="4"/>
    <b v="0"/>
  </r>
  <r>
    <s v="ORD1013"/>
    <x v="12"/>
    <s v="CUST1089"/>
    <x v="12"/>
    <x v="1"/>
    <x v="0"/>
    <x v="3"/>
    <x v="0"/>
    <x v="9"/>
    <n v="4"/>
    <n v="13421"/>
    <n v="0.1"/>
    <n v="48315.6"/>
    <n v="31744.99"/>
    <n v="16570.61"/>
    <x v="3"/>
    <n v="1"/>
    <b v="0"/>
  </r>
  <r>
    <s v="ORD1014"/>
    <x v="13"/>
    <s v="CUST1097"/>
    <x v="13"/>
    <x v="1"/>
    <x v="1"/>
    <x v="0"/>
    <x v="1"/>
    <x v="2"/>
    <n v="3"/>
    <n v="1316"/>
    <n v="0.1"/>
    <n v="3553.2"/>
    <n v="2443.6999999999998"/>
    <n v="1109.5"/>
    <x v="3"/>
    <n v="3"/>
    <b v="0"/>
  </r>
  <r>
    <s v="ORD1015"/>
    <x v="14"/>
    <s v="CUST1012"/>
    <x v="3"/>
    <x v="2"/>
    <x v="0"/>
    <x v="3"/>
    <x v="0"/>
    <x v="9"/>
    <n v="8"/>
    <n v="10634"/>
    <n v="0"/>
    <n v="85072"/>
    <n v="48611.37"/>
    <n v="36460.629999999997"/>
    <x v="0"/>
    <n v="1"/>
    <b v="0"/>
  </r>
  <r>
    <s v="ORD1016"/>
    <x v="15"/>
    <s v="CUST1097"/>
    <x v="14"/>
    <x v="1"/>
    <x v="1"/>
    <x v="1"/>
    <x v="1"/>
    <x v="8"/>
    <n v="1"/>
    <n v="73265"/>
    <n v="0.15"/>
    <n v="62275.25"/>
    <n v="35309.32"/>
    <n v="26965.93"/>
    <x v="0"/>
    <n v="4"/>
    <b v="0"/>
  </r>
  <r>
    <s v="ORD1017"/>
    <x v="16"/>
    <s v="CUST1038"/>
    <x v="15"/>
    <x v="2"/>
    <x v="1"/>
    <x v="1"/>
    <x v="0"/>
    <x v="11"/>
    <n v="8"/>
    <n v="9013"/>
    <n v="0.1"/>
    <n v="64893.599999999999"/>
    <n v="43607.59"/>
    <n v="21286.01"/>
    <x v="1"/>
    <n v="3"/>
    <b v="0"/>
  </r>
  <r>
    <s v="ORD1018"/>
    <x v="17"/>
    <s v="CUST1003"/>
    <x v="16"/>
    <x v="0"/>
    <x v="0"/>
    <x v="4"/>
    <x v="0"/>
    <x v="9"/>
    <n v="1"/>
    <n v="2516"/>
    <n v="0.1"/>
    <n v="2264.4"/>
    <n v="1384.8"/>
    <n v="879.6"/>
    <x v="3"/>
    <n v="2"/>
    <b v="0"/>
  </r>
  <r>
    <s v="ORD1019"/>
    <x v="18"/>
    <s v="CUST1039"/>
    <x v="17"/>
    <x v="0"/>
    <x v="0"/>
    <x v="6"/>
    <x v="2"/>
    <x v="10"/>
    <n v="4"/>
    <n v="5303"/>
    <n v="0.15"/>
    <n v="18030.2"/>
    <n v="15512.69"/>
    <n v="2517.5100000000002"/>
    <x v="2"/>
    <n v="1"/>
    <b v="0"/>
  </r>
  <r>
    <s v="ORD1020"/>
    <x v="19"/>
    <s v="CUST1090"/>
    <x v="18"/>
    <x v="3"/>
    <x v="1"/>
    <x v="3"/>
    <x v="3"/>
    <x v="12"/>
    <n v="7"/>
    <n v="21995"/>
    <n v="0.1"/>
    <n v="138568.5"/>
    <n v="86663.72"/>
    <n v="51904.78"/>
    <x v="2"/>
    <n v="4"/>
    <b v="0"/>
  </r>
  <r>
    <s v="ORD1021"/>
    <x v="20"/>
    <s v="CUST1080"/>
    <x v="19"/>
    <x v="3"/>
    <x v="1"/>
    <x v="7"/>
    <x v="1"/>
    <x v="13"/>
    <n v="3"/>
    <n v="14802"/>
    <n v="0"/>
    <n v="44406"/>
    <n v="29540.61"/>
    <n v="14865.39"/>
    <x v="2"/>
    <n v="1"/>
    <b v="0"/>
  </r>
  <r>
    <s v="ORD1022"/>
    <x v="21"/>
    <s v="CUST1099"/>
    <x v="6"/>
    <x v="1"/>
    <x v="0"/>
    <x v="5"/>
    <x v="0"/>
    <x v="1"/>
    <n v="1"/>
    <n v="2676"/>
    <n v="0.25"/>
    <n v="2007"/>
    <n v="1546.93"/>
    <n v="460.07"/>
    <x v="1"/>
    <n v="2"/>
    <b v="0"/>
  </r>
  <r>
    <s v="ORD1023"/>
    <x v="22"/>
    <s v="CUST1014"/>
    <x v="1"/>
    <x v="2"/>
    <x v="1"/>
    <x v="0"/>
    <x v="3"/>
    <x v="12"/>
    <n v="8"/>
    <n v="24864"/>
    <n v="0.15"/>
    <n v="169075.20000000001"/>
    <n v="132727.26999999999"/>
    <n v="36347.93"/>
    <x v="2"/>
    <n v="3"/>
    <b v="0"/>
  </r>
  <r>
    <s v="ORD1024"/>
    <x v="23"/>
    <s v="CUST1030"/>
    <x v="20"/>
    <x v="3"/>
    <x v="0"/>
    <x v="6"/>
    <x v="0"/>
    <x v="0"/>
    <n v="8"/>
    <n v="1677"/>
    <n v="0.1"/>
    <n v="12074.4"/>
    <n v="9176.42"/>
    <n v="2897.98"/>
    <x v="1"/>
    <n v="3"/>
    <b v="0"/>
  </r>
  <r>
    <s v="ORD1025"/>
    <x v="24"/>
    <s v="CUST1048"/>
    <x v="21"/>
    <x v="0"/>
    <x v="0"/>
    <x v="0"/>
    <x v="3"/>
    <x v="14"/>
    <n v="6"/>
    <n v="16305"/>
    <n v="0"/>
    <n v="97830"/>
    <n v="60109.71"/>
    <n v="37720.29"/>
    <x v="0"/>
    <n v="1"/>
    <b v="0"/>
  </r>
  <r>
    <s v="ORD1026"/>
    <x v="25"/>
    <s v="CUST1037"/>
    <x v="15"/>
    <x v="1"/>
    <x v="0"/>
    <x v="7"/>
    <x v="0"/>
    <x v="11"/>
    <n v="5"/>
    <n v="4410"/>
    <n v="0.25"/>
    <n v="16537.5"/>
    <n v="11115.72"/>
    <n v="5421.78"/>
    <x v="0"/>
    <n v="3"/>
    <b v="0"/>
  </r>
  <r>
    <s v="ORD1027"/>
    <x v="18"/>
    <s v="CUST1018"/>
    <x v="22"/>
    <x v="1"/>
    <x v="0"/>
    <x v="7"/>
    <x v="1"/>
    <x v="13"/>
    <n v="7"/>
    <n v="23483"/>
    <n v="0"/>
    <n v="164381"/>
    <n v="107601.22"/>
    <n v="56779.78"/>
    <x v="1"/>
    <n v="3"/>
    <b v="0"/>
  </r>
  <r>
    <s v="ORD1028"/>
    <x v="26"/>
    <s v="CUST1027"/>
    <x v="23"/>
    <x v="1"/>
    <x v="0"/>
    <x v="0"/>
    <x v="3"/>
    <x v="6"/>
    <n v="2"/>
    <n v="15568"/>
    <n v="0.25"/>
    <n v="23352"/>
    <n v="15607.39"/>
    <n v="7744.61"/>
    <x v="0"/>
    <n v="1"/>
    <b v="0"/>
  </r>
  <r>
    <s v="ORD1029"/>
    <x v="27"/>
    <s v="CUST1060"/>
    <x v="24"/>
    <x v="0"/>
    <x v="1"/>
    <x v="5"/>
    <x v="3"/>
    <x v="6"/>
    <n v="7"/>
    <n v="7693"/>
    <n v="0.05"/>
    <n v="51158.45"/>
    <n v="41813.72"/>
    <n v="9344.73"/>
    <x v="2"/>
    <n v="1"/>
    <b v="0"/>
  </r>
  <r>
    <s v="ORD1030"/>
    <x v="28"/>
    <s v="CUST1098"/>
    <x v="25"/>
    <x v="1"/>
    <x v="0"/>
    <x v="2"/>
    <x v="0"/>
    <x v="11"/>
    <n v="8"/>
    <n v="1046"/>
    <n v="0.1"/>
    <n v="7531.2"/>
    <n v="4982.18"/>
    <n v="2549.02"/>
    <x v="1"/>
    <n v="3"/>
    <b v="0"/>
  </r>
  <r>
    <s v="ORD1031"/>
    <x v="29"/>
    <s v="CUST1052"/>
    <x v="11"/>
    <x v="3"/>
    <x v="0"/>
    <x v="7"/>
    <x v="3"/>
    <x v="12"/>
    <n v="6"/>
    <n v="7520"/>
    <n v="0.05"/>
    <n v="42864"/>
    <n v="35745.730000000003"/>
    <n v="7118.27"/>
    <x v="3"/>
    <n v="4"/>
    <b v="0"/>
  </r>
  <r>
    <s v="ORD1032"/>
    <x v="30"/>
    <s v="CUST1006"/>
    <x v="10"/>
    <x v="3"/>
    <x v="1"/>
    <x v="2"/>
    <x v="1"/>
    <x v="13"/>
    <n v="5"/>
    <n v="20948"/>
    <n v="0.15"/>
    <n v="89029"/>
    <n v="67266.2"/>
    <n v="21762.799999999999"/>
    <x v="3"/>
    <n v="4"/>
    <b v="0"/>
  </r>
  <r>
    <s v="ORD1033"/>
    <x v="31"/>
    <s v="CUST1019"/>
    <x v="26"/>
    <x v="1"/>
    <x v="0"/>
    <x v="1"/>
    <x v="1"/>
    <x v="4"/>
    <n v="4"/>
    <n v="53823"/>
    <n v="0.1"/>
    <n v="193762.8"/>
    <n v="157415.12"/>
    <n v="36347.68"/>
    <x v="0"/>
    <n v="2"/>
    <b v="0"/>
  </r>
  <r>
    <s v="ORD1034"/>
    <x v="0"/>
    <s v="CUST1001"/>
    <x v="5"/>
    <x v="3"/>
    <x v="1"/>
    <x v="7"/>
    <x v="3"/>
    <x v="12"/>
    <n v="7"/>
    <n v="17551"/>
    <n v="0.2"/>
    <n v="98285.6"/>
    <n v="55944.55"/>
    <n v="42341.05"/>
    <x v="2"/>
    <n v="1"/>
    <b v="0"/>
  </r>
  <r>
    <s v="ORD1035"/>
    <x v="32"/>
    <s v="CUST1067"/>
    <x v="27"/>
    <x v="1"/>
    <x v="1"/>
    <x v="6"/>
    <x v="1"/>
    <x v="2"/>
    <n v="1"/>
    <n v="71651"/>
    <n v="0.2"/>
    <n v="57320.800000000003"/>
    <n v="43097.67"/>
    <n v="14223.13"/>
    <x v="0"/>
    <n v="1"/>
    <b v="0"/>
  </r>
  <r>
    <s v="ORD1036"/>
    <x v="33"/>
    <s v="CUST1016"/>
    <x v="28"/>
    <x v="3"/>
    <x v="1"/>
    <x v="5"/>
    <x v="3"/>
    <x v="6"/>
    <n v="5"/>
    <n v="2807"/>
    <n v="0.25"/>
    <n v="10526.25"/>
    <n v="8761.02"/>
    <n v="1765.23"/>
    <x v="3"/>
    <n v="4"/>
    <b v="0"/>
  </r>
  <r>
    <s v="ORD1037"/>
    <x v="34"/>
    <s v="CUST1034"/>
    <x v="29"/>
    <x v="3"/>
    <x v="1"/>
    <x v="1"/>
    <x v="3"/>
    <x v="5"/>
    <n v="5"/>
    <n v="10263"/>
    <n v="0.05"/>
    <n v="48749.25"/>
    <n v="42081.23"/>
    <n v="6668.02"/>
    <x v="3"/>
    <n v="2"/>
    <b v="0"/>
  </r>
  <r>
    <s v="ORD1038"/>
    <x v="35"/>
    <s v="CUST1091"/>
    <x v="30"/>
    <x v="1"/>
    <x v="1"/>
    <x v="1"/>
    <x v="1"/>
    <x v="13"/>
    <n v="5"/>
    <n v="51550"/>
    <n v="0.05"/>
    <n v="244862.5"/>
    <n v="136816.60999999999"/>
    <n v="108045.89"/>
    <x v="3"/>
    <n v="4"/>
    <b v="0"/>
  </r>
  <r>
    <s v="ORD1039"/>
    <x v="36"/>
    <s v="CUST1074"/>
    <x v="31"/>
    <x v="3"/>
    <x v="0"/>
    <x v="5"/>
    <x v="1"/>
    <x v="2"/>
    <n v="3"/>
    <n v="61691"/>
    <n v="0.15"/>
    <n v="157312.04999999999"/>
    <n v="106565.36"/>
    <n v="50746.69"/>
    <x v="2"/>
    <n v="2"/>
    <b v="0"/>
  </r>
  <r>
    <s v="ORD1040"/>
    <x v="37"/>
    <s v="CUST1034"/>
    <x v="24"/>
    <x v="3"/>
    <x v="1"/>
    <x v="5"/>
    <x v="2"/>
    <x v="15"/>
    <n v="3"/>
    <n v="2958"/>
    <n v="0.05"/>
    <n v="8430.2999999999993"/>
    <n v="5524.05"/>
    <n v="2906.25"/>
    <x v="1"/>
    <n v="5"/>
    <b v="0"/>
  </r>
  <r>
    <s v="ORD1041"/>
    <x v="38"/>
    <s v="CUST1073"/>
    <x v="15"/>
    <x v="0"/>
    <x v="0"/>
    <x v="3"/>
    <x v="1"/>
    <x v="13"/>
    <n v="4"/>
    <n v="31812"/>
    <n v="0.2"/>
    <n v="101798.39999999999"/>
    <n v="65463.64"/>
    <n v="36334.76"/>
    <x v="3"/>
    <n v="4"/>
    <b v="0"/>
  </r>
  <r>
    <s v="ORD1042"/>
    <x v="39"/>
    <s v="CUST1055"/>
    <x v="32"/>
    <x v="2"/>
    <x v="0"/>
    <x v="6"/>
    <x v="1"/>
    <x v="8"/>
    <n v="8"/>
    <n v="26088"/>
    <n v="0.25"/>
    <n v="156528"/>
    <n v="115113.2"/>
    <n v="41414.800000000003"/>
    <x v="0"/>
    <n v="1"/>
    <b v="0"/>
  </r>
  <r>
    <s v="ORD1043"/>
    <x v="40"/>
    <s v="CUST1100"/>
    <x v="33"/>
    <x v="3"/>
    <x v="0"/>
    <x v="6"/>
    <x v="3"/>
    <x v="6"/>
    <n v="8"/>
    <n v="10046"/>
    <n v="0.2"/>
    <n v="64294.400000000001"/>
    <n v="54362.37"/>
    <n v="9932.0300000000007"/>
    <x v="2"/>
    <n v="1"/>
    <b v="0"/>
  </r>
  <r>
    <s v="ORD1044"/>
    <x v="19"/>
    <s v="CUST1069"/>
    <x v="34"/>
    <x v="0"/>
    <x v="0"/>
    <x v="4"/>
    <x v="0"/>
    <x v="11"/>
    <n v="7"/>
    <n v="14274"/>
    <n v="0.1"/>
    <n v="89926.2"/>
    <n v="64090.26"/>
    <n v="25835.94"/>
    <x v="3"/>
    <n v="5"/>
    <b v="0"/>
  </r>
  <r>
    <s v="ORD1045"/>
    <x v="41"/>
    <s v="CUST1039"/>
    <x v="35"/>
    <x v="1"/>
    <x v="1"/>
    <x v="5"/>
    <x v="1"/>
    <x v="8"/>
    <n v="8"/>
    <n v="59390"/>
    <n v="0.2"/>
    <n v="380096"/>
    <n v="325820.79999999999"/>
    <n v="54275.199999999997"/>
    <x v="3"/>
    <n v="5"/>
    <b v="0"/>
  </r>
  <r>
    <s v="ORD1046"/>
    <x v="42"/>
    <s v="CUST1007"/>
    <x v="36"/>
    <x v="0"/>
    <x v="1"/>
    <x v="1"/>
    <x v="2"/>
    <x v="15"/>
    <n v="7"/>
    <n v="1487"/>
    <n v="0.05"/>
    <n v="9888.5499999999993"/>
    <n v="8169.9"/>
    <n v="1718.65"/>
    <x v="0"/>
    <n v="2"/>
    <b v="0"/>
  </r>
  <r>
    <s v="ORD1047"/>
    <x v="43"/>
    <s v="CUST1065"/>
    <x v="37"/>
    <x v="0"/>
    <x v="0"/>
    <x v="2"/>
    <x v="3"/>
    <x v="5"/>
    <n v="5"/>
    <n v="13076"/>
    <n v="0.25"/>
    <n v="49035"/>
    <n v="42934.61"/>
    <n v="6100.39"/>
    <x v="3"/>
    <n v="1"/>
    <b v="0"/>
  </r>
  <r>
    <s v="ORD1048"/>
    <x v="44"/>
    <s v="CUST1039"/>
    <x v="38"/>
    <x v="3"/>
    <x v="1"/>
    <x v="6"/>
    <x v="0"/>
    <x v="9"/>
    <n v="6"/>
    <n v="10710"/>
    <n v="0.1"/>
    <n v="57834"/>
    <n v="46640.72"/>
    <n v="11193.28"/>
    <x v="3"/>
    <n v="3"/>
    <b v="0"/>
  </r>
  <r>
    <s v="ORD1049"/>
    <x v="24"/>
    <s v="CUST1039"/>
    <x v="14"/>
    <x v="3"/>
    <x v="0"/>
    <x v="4"/>
    <x v="1"/>
    <x v="4"/>
    <n v="4"/>
    <n v="43203"/>
    <n v="0.15"/>
    <n v="146890.20000000001"/>
    <n v="86549.16"/>
    <n v="60341.04"/>
    <x v="1"/>
    <n v="1"/>
    <b v="0"/>
  </r>
  <r>
    <s v="ORD1050"/>
    <x v="45"/>
    <s v="CUST1044"/>
    <x v="39"/>
    <x v="0"/>
    <x v="0"/>
    <x v="5"/>
    <x v="0"/>
    <x v="0"/>
    <n v="1"/>
    <n v="13068"/>
    <n v="0.25"/>
    <n v="9801"/>
    <n v="6801.8"/>
    <n v="2999.2"/>
    <x v="3"/>
    <n v="5"/>
    <b v="0"/>
  </r>
  <r>
    <s v="ORD1051"/>
    <x v="46"/>
    <s v="CUST1057"/>
    <x v="40"/>
    <x v="1"/>
    <x v="0"/>
    <x v="3"/>
    <x v="3"/>
    <x v="14"/>
    <n v="3"/>
    <n v="23018"/>
    <n v="0.15"/>
    <n v="58695.9"/>
    <n v="43010.71"/>
    <n v="15685.19"/>
    <x v="1"/>
    <n v="1"/>
    <b v="0"/>
  </r>
  <r>
    <s v="ORD1052"/>
    <x v="47"/>
    <s v="CUST1096"/>
    <x v="41"/>
    <x v="3"/>
    <x v="1"/>
    <x v="4"/>
    <x v="3"/>
    <x v="5"/>
    <n v="3"/>
    <n v="22578"/>
    <n v="0"/>
    <n v="67734"/>
    <n v="57711.67"/>
    <n v="10022.33"/>
    <x v="2"/>
    <n v="4"/>
    <b v="0"/>
  </r>
  <r>
    <s v="ORD1053"/>
    <x v="48"/>
    <s v="CUST1092"/>
    <x v="42"/>
    <x v="3"/>
    <x v="1"/>
    <x v="6"/>
    <x v="0"/>
    <x v="11"/>
    <n v="4"/>
    <n v="9809"/>
    <n v="0.05"/>
    <n v="37274.199999999997"/>
    <n v="23322.48"/>
    <n v="13951.72"/>
    <x v="1"/>
    <n v="1"/>
    <b v="0"/>
  </r>
  <r>
    <s v="ORD1054"/>
    <x v="49"/>
    <s v="CUST1006"/>
    <x v="17"/>
    <x v="3"/>
    <x v="1"/>
    <x v="5"/>
    <x v="1"/>
    <x v="2"/>
    <n v="4"/>
    <n v="45526"/>
    <n v="0.2"/>
    <n v="145683.20000000001"/>
    <n v="86528.7"/>
    <n v="59154.5"/>
    <x v="3"/>
    <n v="1"/>
    <b v="0"/>
  </r>
  <r>
    <s v="ORD1055"/>
    <x v="22"/>
    <s v="CUST1065"/>
    <x v="40"/>
    <x v="2"/>
    <x v="0"/>
    <x v="3"/>
    <x v="3"/>
    <x v="6"/>
    <n v="6"/>
    <n v="21719"/>
    <n v="0.2"/>
    <n v="104251.2"/>
    <n v="63008.94"/>
    <n v="41242.26"/>
    <x v="3"/>
    <n v="5"/>
    <b v="0"/>
  </r>
  <r>
    <s v="ORD1056"/>
    <x v="50"/>
    <s v="CUST1099"/>
    <x v="14"/>
    <x v="2"/>
    <x v="1"/>
    <x v="2"/>
    <x v="2"/>
    <x v="7"/>
    <n v="6"/>
    <n v="6702"/>
    <n v="0"/>
    <n v="40212"/>
    <n v="33241.19"/>
    <n v="6970.81"/>
    <x v="1"/>
    <n v="4"/>
    <b v="0"/>
  </r>
  <r>
    <s v="ORD1057"/>
    <x v="51"/>
    <s v="CUST1037"/>
    <x v="43"/>
    <x v="3"/>
    <x v="0"/>
    <x v="3"/>
    <x v="1"/>
    <x v="8"/>
    <n v="5"/>
    <n v="74750"/>
    <n v="0.2"/>
    <n v="299000"/>
    <n v="222186.7"/>
    <n v="76813.3"/>
    <x v="0"/>
    <n v="1"/>
    <b v="0"/>
  </r>
  <r>
    <s v="ORD1058"/>
    <x v="52"/>
    <s v="CUST1034"/>
    <x v="26"/>
    <x v="2"/>
    <x v="1"/>
    <x v="2"/>
    <x v="1"/>
    <x v="8"/>
    <n v="5"/>
    <n v="45778"/>
    <n v="0.25"/>
    <n v="171667.5"/>
    <n v="144168.57"/>
    <n v="27498.93"/>
    <x v="1"/>
    <n v="2"/>
    <b v="0"/>
  </r>
  <r>
    <s v="ORD1059"/>
    <x v="53"/>
    <s v="CUST1005"/>
    <x v="44"/>
    <x v="2"/>
    <x v="0"/>
    <x v="3"/>
    <x v="3"/>
    <x v="5"/>
    <n v="3"/>
    <n v="13244"/>
    <n v="0.15"/>
    <n v="33772.199999999997"/>
    <n v="27673.19"/>
    <n v="6099.01"/>
    <x v="0"/>
    <n v="5"/>
    <b v="0"/>
  </r>
  <r>
    <s v="ORD1060"/>
    <x v="54"/>
    <s v="CUST1038"/>
    <x v="45"/>
    <x v="3"/>
    <x v="1"/>
    <x v="7"/>
    <x v="3"/>
    <x v="5"/>
    <n v="3"/>
    <n v="5718"/>
    <n v="0.25"/>
    <n v="12865.5"/>
    <n v="9696.69"/>
    <n v="3168.81"/>
    <x v="3"/>
    <n v="3"/>
    <b v="0"/>
  </r>
  <r>
    <s v="ORD1061"/>
    <x v="55"/>
    <s v="CUST1051"/>
    <x v="46"/>
    <x v="0"/>
    <x v="0"/>
    <x v="4"/>
    <x v="2"/>
    <x v="15"/>
    <n v="4"/>
    <n v="4561"/>
    <n v="0"/>
    <n v="18244"/>
    <n v="14752.2"/>
    <n v="3491.8"/>
    <x v="1"/>
    <n v="1"/>
    <b v="0"/>
  </r>
  <r>
    <s v="ORD1062"/>
    <x v="56"/>
    <s v="CUST1043"/>
    <x v="47"/>
    <x v="2"/>
    <x v="0"/>
    <x v="3"/>
    <x v="1"/>
    <x v="13"/>
    <n v="4"/>
    <n v="34868"/>
    <n v="0.05"/>
    <n v="132498.4"/>
    <n v="100018.52"/>
    <n v="32479.88"/>
    <x v="3"/>
    <n v="3"/>
    <b v="0"/>
  </r>
  <r>
    <s v="ORD1063"/>
    <x v="57"/>
    <s v="CUST1027"/>
    <x v="48"/>
    <x v="2"/>
    <x v="1"/>
    <x v="5"/>
    <x v="0"/>
    <x v="9"/>
    <n v="4"/>
    <n v="2974"/>
    <n v="0"/>
    <n v="11896"/>
    <n v="10063.299999999999"/>
    <n v="1832.7"/>
    <x v="1"/>
    <n v="3"/>
    <b v="0"/>
  </r>
  <r>
    <s v="ORD1064"/>
    <x v="58"/>
    <s v="CUST1001"/>
    <x v="9"/>
    <x v="0"/>
    <x v="1"/>
    <x v="1"/>
    <x v="1"/>
    <x v="2"/>
    <n v="2"/>
    <n v="21471"/>
    <n v="0.2"/>
    <n v="34353.599999999999"/>
    <n v="19255.04"/>
    <n v="15098.56"/>
    <x v="1"/>
    <n v="2"/>
    <b v="0"/>
  </r>
  <r>
    <s v="ORD1065"/>
    <x v="59"/>
    <s v="CUST1086"/>
    <x v="49"/>
    <x v="3"/>
    <x v="0"/>
    <x v="2"/>
    <x v="3"/>
    <x v="5"/>
    <n v="5"/>
    <n v="8379"/>
    <n v="0.05"/>
    <n v="39800.25"/>
    <n v="32389.66"/>
    <n v="7410.59"/>
    <x v="2"/>
    <n v="5"/>
    <b v="0"/>
  </r>
  <r>
    <s v="ORD1066"/>
    <x v="60"/>
    <s v="CUST1047"/>
    <x v="49"/>
    <x v="3"/>
    <x v="1"/>
    <x v="1"/>
    <x v="3"/>
    <x v="6"/>
    <n v="1"/>
    <n v="2571"/>
    <n v="0.1"/>
    <n v="2313.9"/>
    <n v="1413.54"/>
    <n v="900.36"/>
    <x v="2"/>
    <n v="2"/>
    <b v="0"/>
  </r>
  <r>
    <s v="ORD1067"/>
    <x v="61"/>
    <s v="CUST1018"/>
    <x v="20"/>
    <x v="3"/>
    <x v="0"/>
    <x v="2"/>
    <x v="3"/>
    <x v="5"/>
    <n v="3"/>
    <n v="6685"/>
    <n v="0.1"/>
    <n v="18049.5"/>
    <n v="15259.38"/>
    <n v="2790.12"/>
    <x v="2"/>
    <n v="1"/>
    <b v="0"/>
  </r>
  <r>
    <s v="ORD1068"/>
    <x v="62"/>
    <s v="CUST1044"/>
    <x v="22"/>
    <x v="0"/>
    <x v="0"/>
    <x v="4"/>
    <x v="1"/>
    <x v="13"/>
    <n v="2"/>
    <n v="42646"/>
    <n v="0"/>
    <n v="85292"/>
    <n v="52862.09"/>
    <n v="32429.91"/>
    <x v="0"/>
    <n v="4"/>
    <b v="0"/>
  </r>
  <r>
    <s v="ORD1069"/>
    <x v="63"/>
    <s v="CUST1008"/>
    <x v="50"/>
    <x v="2"/>
    <x v="1"/>
    <x v="6"/>
    <x v="2"/>
    <x v="7"/>
    <n v="5"/>
    <n v="4045"/>
    <n v="0.15"/>
    <n v="17191.25"/>
    <n v="12502.25"/>
    <n v="4689"/>
    <x v="1"/>
    <n v="1"/>
    <b v="0"/>
  </r>
  <r>
    <s v="ORD1070"/>
    <x v="43"/>
    <s v="CUST1070"/>
    <x v="51"/>
    <x v="3"/>
    <x v="1"/>
    <x v="5"/>
    <x v="3"/>
    <x v="6"/>
    <n v="2"/>
    <n v="15385"/>
    <n v="0.1"/>
    <n v="27693"/>
    <n v="18485.41"/>
    <n v="9207.59"/>
    <x v="1"/>
    <n v="4"/>
    <b v="0"/>
  </r>
  <r>
    <s v="ORD1071"/>
    <x v="64"/>
    <s v="CUST1031"/>
    <x v="50"/>
    <x v="2"/>
    <x v="1"/>
    <x v="0"/>
    <x v="2"/>
    <x v="15"/>
    <n v="6"/>
    <n v="6525"/>
    <n v="0"/>
    <n v="39150"/>
    <n v="22569.08"/>
    <n v="16580.919999999998"/>
    <x v="3"/>
    <n v="2"/>
    <b v="0"/>
  </r>
  <r>
    <s v="ORD1072"/>
    <x v="65"/>
    <s v="CUST1057"/>
    <x v="25"/>
    <x v="1"/>
    <x v="0"/>
    <x v="0"/>
    <x v="0"/>
    <x v="1"/>
    <n v="4"/>
    <n v="378"/>
    <n v="0.25"/>
    <n v="1134"/>
    <n v="720.21"/>
    <n v="413.79"/>
    <x v="1"/>
    <n v="3"/>
    <b v="0"/>
  </r>
  <r>
    <s v="ORD1073"/>
    <x v="66"/>
    <s v="CUST1020"/>
    <x v="33"/>
    <x v="3"/>
    <x v="0"/>
    <x v="1"/>
    <x v="0"/>
    <x v="0"/>
    <n v="6"/>
    <n v="14530"/>
    <n v="0.15"/>
    <n v="74103"/>
    <n v="51160.27"/>
    <n v="22942.73"/>
    <x v="1"/>
    <n v="5"/>
    <b v="0"/>
  </r>
  <r>
    <s v="ORD1074"/>
    <x v="67"/>
    <s v="CUST1010"/>
    <x v="9"/>
    <x v="2"/>
    <x v="1"/>
    <x v="4"/>
    <x v="2"/>
    <x v="10"/>
    <n v="4"/>
    <n v="2837"/>
    <n v="0.1"/>
    <n v="10213.200000000001"/>
    <n v="5791.92"/>
    <n v="4421.28"/>
    <x v="1"/>
    <n v="5"/>
    <b v="0"/>
  </r>
  <r>
    <s v="ORD1075"/>
    <x v="68"/>
    <s v="CUST1035"/>
    <x v="44"/>
    <x v="1"/>
    <x v="0"/>
    <x v="5"/>
    <x v="3"/>
    <x v="6"/>
    <n v="1"/>
    <n v="3901"/>
    <n v="0"/>
    <n v="3901"/>
    <n v="3124.21"/>
    <n v="776.79"/>
    <x v="1"/>
    <n v="4"/>
    <b v="0"/>
  </r>
  <r>
    <s v="ORD1076"/>
    <x v="49"/>
    <s v="CUST1001"/>
    <x v="50"/>
    <x v="1"/>
    <x v="1"/>
    <x v="4"/>
    <x v="3"/>
    <x v="5"/>
    <n v="5"/>
    <n v="18406"/>
    <n v="0"/>
    <n v="92030"/>
    <n v="56842.38"/>
    <n v="35187.620000000003"/>
    <x v="2"/>
    <n v="5"/>
    <b v="0"/>
  </r>
  <r>
    <s v="ORD1077"/>
    <x v="13"/>
    <s v="CUST1005"/>
    <x v="52"/>
    <x v="1"/>
    <x v="1"/>
    <x v="1"/>
    <x v="2"/>
    <x v="7"/>
    <n v="5"/>
    <n v="1932"/>
    <n v="0.25"/>
    <n v="7245"/>
    <n v="5957.52"/>
    <n v="1287.48"/>
    <x v="1"/>
    <n v="4"/>
    <b v="0"/>
  </r>
  <r>
    <s v="ORD1078"/>
    <x v="69"/>
    <s v="CUST1038"/>
    <x v="53"/>
    <x v="3"/>
    <x v="0"/>
    <x v="2"/>
    <x v="1"/>
    <x v="4"/>
    <n v="1"/>
    <n v="51477"/>
    <n v="0.25"/>
    <n v="38607.75"/>
    <n v="32696.53"/>
    <n v="5911.22"/>
    <x v="0"/>
    <n v="1"/>
    <b v="0"/>
  </r>
  <r>
    <s v="ORD1079"/>
    <x v="70"/>
    <s v="CUST1051"/>
    <x v="54"/>
    <x v="3"/>
    <x v="0"/>
    <x v="2"/>
    <x v="1"/>
    <x v="8"/>
    <n v="7"/>
    <n v="40264"/>
    <n v="0.2"/>
    <n v="225478.39999999999"/>
    <n v="191461.78"/>
    <n v="34016.620000000003"/>
    <x v="3"/>
    <n v="2"/>
    <b v="0"/>
  </r>
  <r>
    <s v="ORD1080"/>
    <x v="71"/>
    <s v="CUST1038"/>
    <x v="55"/>
    <x v="1"/>
    <x v="0"/>
    <x v="5"/>
    <x v="0"/>
    <x v="1"/>
    <n v="7"/>
    <n v="9415"/>
    <n v="0.15"/>
    <n v="56019.25"/>
    <n v="44517.5"/>
    <n v="11501.75"/>
    <x v="3"/>
    <n v="1"/>
    <b v="0"/>
  </r>
  <r>
    <s v="ORD1081"/>
    <x v="72"/>
    <s v="CUST1038"/>
    <x v="32"/>
    <x v="2"/>
    <x v="0"/>
    <x v="4"/>
    <x v="0"/>
    <x v="11"/>
    <n v="2"/>
    <n v="11508"/>
    <n v="0.1"/>
    <n v="20714.400000000001"/>
    <n v="16551.419999999998"/>
    <n v="4162.9799999999996"/>
    <x v="0"/>
    <n v="4"/>
    <b v="0"/>
  </r>
  <r>
    <s v="ORD1082"/>
    <x v="73"/>
    <s v="CUST1027"/>
    <x v="56"/>
    <x v="1"/>
    <x v="0"/>
    <x v="4"/>
    <x v="2"/>
    <x v="7"/>
    <n v="8"/>
    <n v="1539"/>
    <n v="0.15"/>
    <n v="10465.200000000001"/>
    <n v="8250.17"/>
    <n v="2215.0300000000002"/>
    <x v="2"/>
    <n v="2"/>
    <b v="0"/>
  </r>
  <r>
    <s v="ORD1083"/>
    <x v="74"/>
    <s v="CUST1072"/>
    <x v="57"/>
    <x v="0"/>
    <x v="1"/>
    <x v="7"/>
    <x v="2"/>
    <x v="7"/>
    <n v="4"/>
    <n v="1780"/>
    <n v="0.05"/>
    <n v="6764"/>
    <n v="4484.76"/>
    <n v="2279.2399999999998"/>
    <x v="3"/>
    <n v="4"/>
    <b v="0"/>
  </r>
  <r>
    <s v="ORD1084"/>
    <x v="75"/>
    <s v="CUST1043"/>
    <x v="27"/>
    <x v="2"/>
    <x v="1"/>
    <x v="0"/>
    <x v="1"/>
    <x v="13"/>
    <n v="6"/>
    <n v="8279"/>
    <n v="0"/>
    <n v="49674"/>
    <n v="27617.57"/>
    <n v="22056.43"/>
    <x v="2"/>
    <n v="5"/>
    <b v="0"/>
  </r>
  <r>
    <s v="ORD1085"/>
    <x v="76"/>
    <s v="CUST1029"/>
    <x v="58"/>
    <x v="1"/>
    <x v="0"/>
    <x v="7"/>
    <x v="1"/>
    <x v="13"/>
    <n v="7"/>
    <n v="12118"/>
    <n v="0.15"/>
    <n v="72102.100000000006"/>
    <n v="48565.36"/>
    <n v="23536.74"/>
    <x v="3"/>
    <n v="1"/>
    <b v="0"/>
  </r>
  <r>
    <s v="ORD1086"/>
    <x v="77"/>
    <s v="CUST1063"/>
    <x v="59"/>
    <x v="2"/>
    <x v="0"/>
    <x v="0"/>
    <x v="1"/>
    <x v="2"/>
    <n v="2"/>
    <n v="63046"/>
    <n v="0.25"/>
    <n v="94569"/>
    <n v="78149.17"/>
    <n v="16419.830000000002"/>
    <x v="3"/>
    <n v="5"/>
    <b v="0"/>
  </r>
  <r>
    <s v="ORD1087"/>
    <x v="78"/>
    <s v="CUST1063"/>
    <x v="22"/>
    <x v="0"/>
    <x v="0"/>
    <x v="7"/>
    <x v="1"/>
    <x v="2"/>
    <n v="1"/>
    <n v="16054"/>
    <n v="0"/>
    <n v="16054"/>
    <n v="8854.24"/>
    <n v="7199.76"/>
    <x v="1"/>
    <n v="2"/>
    <b v="0"/>
  </r>
  <r>
    <s v="ORD1088"/>
    <x v="79"/>
    <s v="CUST1054"/>
    <x v="15"/>
    <x v="0"/>
    <x v="0"/>
    <x v="4"/>
    <x v="3"/>
    <x v="12"/>
    <n v="1"/>
    <n v="14883"/>
    <n v="0.1"/>
    <n v="13394.7"/>
    <n v="9366.98"/>
    <n v="4027.72"/>
    <x v="1"/>
    <n v="5"/>
    <b v="0"/>
  </r>
  <r>
    <s v="ORD1089"/>
    <x v="80"/>
    <s v="CUST1071"/>
    <x v="46"/>
    <x v="1"/>
    <x v="0"/>
    <x v="3"/>
    <x v="1"/>
    <x v="2"/>
    <n v="5"/>
    <n v="43880"/>
    <n v="0.25"/>
    <n v="164550"/>
    <n v="102454.11"/>
    <n v="62095.89"/>
    <x v="2"/>
    <n v="4"/>
    <b v="0"/>
  </r>
  <r>
    <s v="ORD1090"/>
    <x v="81"/>
    <s v="CUST1062"/>
    <x v="60"/>
    <x v="0"/>
    <x v="0"/>
    <x v="3"/>
    <x v="1"/>
    <x v="13"/>
    <n v="1"/>
    <n v="23030"/>
    <n v="0.2"/>
    <n v="18424"/>
    <n v="12548.86"/>
    <n v="5875.14"/>
    <x v="0"/>
    <n v="5"/>
    <b v="0"/>
  </r>
  <r>
    <s v="ORD1091"/>
    <x v="82"/>
    <s v="CUST1092"/>
    <x v="44"/>
    <x v="2"/>
    <x v="0"/>
    <x v="2"/>
    <x v="0"/>
    <x v="9"/>
    <n v="3"/>
    <n v="1266"/>
    <n v="0.25"/>
    <n v="2848.5"/>
    <n v="2237.89"/>
    <n v="610.61"/>
    <x v="2"/>
    <n v="1"/>
    <b v="0"/>
  </r>
  <r>
    <s v="ORD1092"/>
    <x v="83"/>
    <s v="CUST1097"/>
    <x v="0"/>
    <x v="1"/>
    <x v="1"/>
    <x v="0"/>
    <x v="1"/>
    <x v="8"/>
    <n v="7"/>
    <n v="56691"/>
    <n v="0.05"/>
    <n v="376995.15"/>
    <n v="241030.24"/>
    <n v="135964.91"/>
    <x v="1"/>
    <n v="5"/>
    <b v="0"/>
  </r>
  <r>
    <s v="ORD1093"/>
    <x v="84"/>
    <s v="CUST1054"/>
    <x v="61"/>
    <x v="1"/>
    <x v="0"/>
    <x v="4"/>
    <x v="1"/>
    <x v="2"/>
    <n v="7"/>
    <n v="19639"/>
    <n v="0.1"/>
    <n v="123725.7"/>
    <n v="88688.76"/>
    <n v="35036.94"/>
    <x v="3"/>
    <n v="2"/>
    <b v="0"/>
  </r>
  <r>
    <s v="ORD1094"/>
    <x v="13"/>
    <s v="CUST1054"/>
    <x v="62"/>
    <x v="0"/>
    <x v="0"/>
    <x v="2"/>
    <x v="0"/>
    <x v="9"/>
    <n v="6"/>
    <n v="9167"/>
    <n v="0.25"/>
    <n v="41251.5"/>
    <n v="33990.1"/>
    <n v="7261.4"/>
    <x v="2"/>
    <n v="2"/>
    <b v="0"/>
  </r>
  <r>
    <s v="ORD1095"/>
    <x v="85"/>
    <s v="CUST1029"/>
    <x v="18"/>
    <x v="0"/>
    <x v="1"/>
    <x v="3"/>
    <x v="3"/>
    <x v="12"/>
    <n v="1"/>
    <n v="5593"/>
    <n v="0.1"/>
    <n v="5033.7"/>
    <n v="2972.48"/>
    <n v="2061.2199999999998"/>
    <x v="3"/>
    <n v="5"/>
    <b v="0"/>
  </r>
  <r>
    <s v="ORD1096"/>
    <x v="86"/>
    <s v="CUST1038"/>
    <x v="44"/>
    <x v="1"/>
    <x v="1"/>
    <x v="5"/>
    <x v="2"/>
    <x v="15"/>
    <n v="7"/>
    <n v="3286"/>
    <n v="0.15"/>
    <n v="19551.7"/>
    <n v="16112.87"/>
    <n v="3438.83"/>
    <x v="2"/>
    <n v="3"/>
    <b v="0"/>
  </r>
  <r>
    <s v="ORD1097"/>
    <x v="87"/>
    <s v="CUST1087"/>
    <x v="10"/>
    <x v="1"/>
    <x v="1"/>
    <x v="6"/>
    <x v="3"/>
    <x v="5"/>
    <n v="4"/>
    <n v="3933"/>
    <n v="0.05"/>
    <n v="14945.4"/>
    <n v="11010.37"/>
    <n v="3935.03"/>
    <x v="0"/>
    <n v="1"/>
    <b v="0"/>
  </r>
  <r>
    <s v="ORD1098"/>
    <x v="88"/>
    <s v="CUST1026"/>
    <x v="63"/>
    <x v="1"/>
    <x v="0"/>
    <x v="1"/>
    <x v="3"/>
    <x v="14"/>
    <n v="1"/>
    <n v="6818"/>
    <n v="0.25"/>
    <n v="5113.5"/>
    <n v="3900.92"/>
    <n v="1212.58"/>
    <x v="3"/>
    <n v="5"/>
    <b v="0"/>
  </r>
  <r>
    <s v="ORD1099"/>
    <x v="63"/>
    <s v="CUST1017"/>
    <x v="64"/>
    <x v="0"/>
    <x v="1"/>
    <x v="1"/>
    <x v="3"/>
    <x v="5"/>
    <n v="8"/>
    <n v="3385"/>
    <n v="0.15"/>
    <n v="23018"/>
    <n v="16443.37"/>
    <n v="6574.63"/>
    <x v="2"/>
    <n v="5"/>
    <b v="0"/>
  </r>
  <r>
    <s v="ORD1100"/>
    <x v="50"/>
    <s v="CUST1012"/>
    <x v="65"/>
    <x v="2"/>
    <x v="1"/>
    <x v="5"/>
    <x v="3"/>
    <x v="14"/>
    <n v="3"/>
    <n v="22550"/>
    <n v="0.25"/>
    <n v="50737.5"/>
    <n v="40164.870000000003"/>
    <n v="10572.63"/>
    <x v="0"/>
    <n v="2"/>
    <b v="0"/>
  </r>
  <r>
    <s v="ORD1101"/>
    <x v="89"/>
    <s v="CUST1065"/>
    <x v="13"/>
    <x v="3"/>
    <x v="1"/>
    <x v="6"/>
    <x v="0"/>
    <x v="11"/>
    <n v="2"/>
    <n v="6504"/>
    <n v="0.05"/>
    <n v="12357.6"/>
    <n v="7474.78"/>
    <n v="4882.82"/>
    <x v="1"/>
    <n v="5"/>
    <b v="0"/>
  </r>
  <r>
    <s v="ORD1102"/>
    <x v="90"/>
    <s v="CUST1099"/>
    <x v="59"/>
    <x v="3"/>
    <x v="0"/>
    <x v="2"/>
    <x v="2"/>
    <x v="3"/>
    <n v="3"/>
    <n v="3103"/>
    <n v="0"/>
    <n v="9309"/>
    <n v="7336.48"/>
    <n v="1972.52"/>
    <x v="2"/>
    <n v="5"/>
    <b v="0"/>
  </r>
  <r>
    <s v="ORD1103"/>
    <x v="91"/>
    <s v="CUST1062"/>
    <x v="66"/>
    <x v="1"/>
    <x v="1"/>
    <x v="1"/>
    <x v="1"/>
    <x v="4"/>
    <n v="4"/>
    <n v="40856"/>
    <n v="0.1"/>
    <n v="147081.60000000001"/>
    <n v="109778.13"/>
    <n v="37303.47"/>
    <x v="0"/>
    <n v="1"/>
    <b v="0"/>
  </r>
  <r>
    <s v="ORD1104"/>
    <x v="92"/>
    <s v="CUST1039"/>
    <x v="4"/>
    <x v="3"/>
    <x v="1"/>
    <x v="5"/>
    <x v="0"/>
    <x v="0"/>
    <n v="1"/>
    <n v="7584"/>
    <n v="0.1"/>
    <n v="6825.6"/>
    <n v="5101.6899999999996"/>
    <n v="1723.91"/>
    <x v="2"/>
    <n v="4"/>
    <b v="0"/>
  </r>
  <r>
    <s v="ORD1105"/>
    <x v="29"/>
    <s v="CUST1061"/>
    <x v="67"/>
    <x v="0"/>
    <x v="0"/>
    <x v="2"/>
    <x v="3"/>
    <x v="5"/>
    <n v="2"/>
    <n v="3026"/>
    <n v="0.2"/>
    <n v="4841.6000000000004"/>
    <n v="2809.2"/>
    <n v="2032.4"/>
    <x v="0"/>
    <n v="4"/>
    <b v="0"/>
  </r>
  <r>
    <s v="ORD1106"/>
    <x v="93"/>
    <s v="CUST1072"/>
    <x v="22"/>
    <x v="2"/>
    <x v="0"/>
    <x v="4"/>
    <x v="0"/>
    <x v="9"/>
    <n v="3"/>
    <n v="11064"/>
    <n v="0.2"/>
    <n v="26553.599999999999"/>
    <n v="21255.67"/>
    <n v="5297.93"/>
    <x v="3"/>
    <n v="3"/>
    <b v="0"/>
  </r>
  <r>
    <s v="ORD1107"/>
    <x v="94"/>
    <s v="CUST1085"/>
    <x v="37"/>
    <x v="2"/>
    <x v="0"/>
    <x v="7"/>
    <x v="1"/>
    <x v="2"/>
    <n v="2"/>
    <n v="3725"/>
    <n v="0.05"/>
    <n v="7077.5"/>
    <n v="5266.56"/>
    <n v="1810.94"/>
    <x v="3"/>
    <n v="5"/>
    <b v="0"/>
  </r>
  <r>
    <s v="ORD1108"/>
    <x v="95"/>
    <s v="CUST1095"/>
    <x v="44"/>
    <x v="0"/>
    <x v="0"/>
    <x v="6"/>
    <x v="1"/>
    <x v="8"/>
    <n v="8"/>
    <n v="9354"/>
    <n v="0.1"/>
    <n v="67348.800000000003"/>
    <n v="58028.26"/>
    <n v="9320.5400000000009"/>
    <x v="1"/>
    <n v="3"/>
    <b v="0"/>
  </r>
  <r>
    <s v="ORD1109"/>
    <x v="96"/>
    <s v="CUST1098"/>
    <x v="19"/>
    <x v="2"/>
    <x v="0"/>
    <x v="0"/>
    <x v="2"/>
    <x v="7"/>
    <n v="6"/>
    <n v="4932"/>
    <n v="0.1"/>
    <n v="26632.799999999999"/>
    <n v="19575.73"/>
    <n v="7057.07"/>
    <x v="1"/>
    <n v="4"/>
    <b v="0"/>
  </r>
  <r>
    <s v="ORD1110"/>
    <x v="97"/>
    <s v="CUST1033"/>
    <x v="41"/>
    <x v="0"/>
    <x v="1"/>
    <x v="4"/>
    <x v="2"/>
    <x v="3"/>
    <n v="1"/>
    <n v="4492"/>
    <n v="0.25"/>
    <n v="3369"/>
    <n v="2207.33"/>
    <n v="1161.67"/>
    <x v="1"/>
    <n v="2"/>
    <b v="0"/>
  </r>
  <r>
    <s v="ORD1111"/>
    <x v="98"/>
    <s v="CUST1099"/>
    <x v="3"/>
    <x v="0"/>
    <x v="1"/>
    <x v="5"/>
    <x v="2"/>
    <x v="15"/>
    <n v="2"/>
    <n v="562"/>
    <n v="0.2"/>
    <n v="899.2"/>
    <n v="651.51"/>
    <n v="247.69"/>
    <x v="1"/>
    <n v="1"/>
    <b v="0"/>
  </r>
  <r>
    <s v="ORD1112"/>
    <x v="99"/>
    <s v="CUST1030"/>
    <x v="22"/>
    <x v="3"/>
    <x v="0"/>
    <x v="4"/>
    <x v="3"/>
    <x v="14"/>
    <n v="4"/>
    <n v="15874"/>
    <n v="0.15"/>
    <n v="53971.6"/>
    <n v="47211.519999999997"/>
    <n v="6760.08"/>
    <x v="0"/>
    <n v="1"/>
    <b v="0"/>
  </r>
  <r>
    <s v="ORD1113"/>
    <x v="100"/>
    <s v="CUST1062"/>
    <x v="64"/>
    <x v="2"/>
    <x v="1"/>
    <x v="3"/>
    <x v="1"/>
    <x v="8"/>
    <n v="5"/>
    <n v="27113"/>
    <n v="0.25"/>
    <n v="101673.75"/>
    <n v="84534.73"/>
    <n v="17139.02"/>
    <x v="0"/>
    <n v="1"/>
    <b v="0"/>
  </r>
  <r>
    <s v="ORD1114"/>
    <x v="101"/>
    <s v="CUST1043"/>
    <x v="54"/>
    <x v="0"/>
    <x v="1"/>
    <x v="2"/>
    <x v="1"/>
    <x v="2"/>
    <n v="8"/>
    <n v="10033"/>
    <n v="0.1"/>
    <n v="72237.600000000006"/>
    <n v="62376.24"/>
    <n v="9861.36"/>
    <x v="1"/>
    <n v="3"/>
    <b v="0"/>
  </r>
  <r>
    <s v="ORD1115"/>
    <x v="102"/>
    <s v="CUST1093"/>
    <x v="7"/>
    <x v="2"/>
    <x v="0"/>
    <x v="6"/>
    <x v="1"/>
    <x v="4"/>
    <n v="1"/>
    <n v="55957"/>
    <n v="0.15"/>
    <n v="47563.45"/>
    <n v="29796.2"/>
    <n v="17767.25"/>
    <x v="0"/>
    <n v="2"/>
    <b v="0"/>
  </r>
  <r>
    <s v="ORD1116"/>
    <x v="103"/>
    <s v="CUST1005"/>
    <x v="9"/>
    <x v="0"/>
    <x v="0"/>
    <x v="2"/>
    <x v="3"/>
    <x v="14"/>
    <n v="2"/>
    <n v="1400"/>
    <n v="0.05"/>
    <n v="2660"/>
    <n v="2147.3200000000002"/>
    <n v="512.67999999999995"/>
    <x v="0"/>
    <n v="1"/>
    <b v="0"/>
  </r>
  <r>
    <s v="ORD1117"/>
    <x v="104"/>
    <s v="CUST1062"/>
    <x v="67"/>
    <x v="0"/>
    <x v="0"/>
    <x v="0"/>
    <x v="0"/>
    <x v="11"/>
    <n v="1"/>
    <n v="2856"/>
    <n v="0.05"/>
    <n v="2713.2"/>
    <n v="1953.59"/>
    <n v="759.61"/>
    <x v="3"/>
    <n v="5"/>
    <b v="0"/>
  </r>
  <r>
    <s v="ORD1118"/>
    <x v="105"/>
    <s v="CUST1056"/>
    <x v="61"/>
    <x v="1"/>
    <x v="1"/>
    <x v="5"/>
    <x v="1"/>
    <x v="8"/>
    <n v="1"/>
    <n v="44796"/>
    <n v="0.25"/>
    <n v="33597"/>
    <n v="28014.58"/>
    <n v="5582.42"/>
    <x v="0"/>
    <n v="3"/>
    <b v="0"/>
  </r>
  <r>
    <s v="ORD1119"/>
    <x v="54"/>
    <s v="CUST1088"/>
    <x v="68"/>
    <x v="3"/>
    <x v="1"/>
    <x v="6"/>
    <x v="3"/>
    <x v="6"/>
    <n v="2"/>
    <n v="20333"/>
    <n v="0"/>
    <n v="40666"/>
    <n v="29758.68"/>
    <n v="10907.32"/>
    <x v="0"/>
    <n v="2"/>
    <b v="0"/>
  </r>
  <r>
    <s v="ORD1120"/>
    <x v="106"/>
    <s v="CUST1040"/>
    <x v="39"/>
    <x v="2"/>
    <x v="1"/>
    <x v="5"/>
    <x v="3"/>
    <x v="14"/>
    <n v="4"/>
    <n v="3182"/>
    <n v="0.15"/>
    <n v="10818.8"/>
    <n v="6222.14"/>
    <n v="4596.66"/>
    <x v="3"/>
    <n v="2"/>
    <b v="0"/>
  </r>
  <r>
    <s v="ORD1121"/>
    <x v="103"/>
    <s v="CUST1088"/>
    <x v="21"/>
    <x v="0"/>
    <x v="1"/>
    <x v="4"/>
    <x v="0"/>
    <x v="9"/>
    <n v="2"/>
    <n v="8294"/>
    <n v="0.2"/>
    <n v="13270.4"/>
    <n v="8468.1"/>
    <n v="4802.3"/>
    <x v="0"/>
    <n v="3"/>
    <b v="0"/>
  </r>
  <r>
    <s v="ORD1122"/>
    <x v="107"/>
    <s v="CUST1063"/>
    <x v="69"/>
    <x v="0"/>
    <x v="1"/>
    <x v="2"/>
    <x v="0"/>
    <x v="0"/>
    <n v="5"/>
    <n v="12604"/>
    <n v="0"/>
    <n v="63020"/>
    <n v="54003.72"/>
    <n v="9016.2800000000007"/>
    <x v="0"/>
    <n v="3"/>
    <b v="0"/>
  </r>
  <r>
    <s v="ORD1123"/>
    <x v="89"/>
    <s v="CUST1053"/>
    <x v="70"/>
    <x v="3"/>
    <x v="0"/>
    <x v="1"/>
    <x v="3"/>
    <x v="14"/>
    <n v="3"/>
    <n v="22037"/>
    <n v="0.05"/>
    <n v="62805.45"/>
    <n v="37213.93"/>
    <n v="25591.52"/>
    <x v="2"/>
    <n v="2"/>
    <b v="0"/>
  </r>
  <r>
    <s v="ORD1124"/>
    <x v="108"/>
    <s v="CUST1017"/>
    <x v="56"/>
    <x v="2"/>
    <x v="1"/>
    <x v="0"/>
    <x v="1"/>
    <x v="2"/>
    <n v="4"/>
    <n v="1274"/>
    <n v="0.2"/>
    <n v="4076.8"/>
    <n v="3072.22"/>
    <n v="1004.58"/>
    <x v="2"/>
    <n v="5"/>
    <b v="0"/>
  </r>
  <r>
    <s v="ORD1125"/>
    <x v="31"/>
    <s v="CUST1028"/>
    <x v="18"/>
    <x v="0"/>
    <x v="1"/>
    <x v="5"/>
    <x v="0"/>
    <x v="11"/>
    <n v="3"/>
    <n v="11487"/>
    <n v="0.05"/>
    <n v="32737.95"/>
    <n v="22675.599999999999"/>
    <n v="10062.35"/>
    <x v="0"/>
    <n v="4"/>
    <b v="0"/>
  </r>
  <r>
    <s v="ORD1126"/>
    <x v="109"/>
    <s v="CUST1022"/>
    <x v="28"/>
    <x v="1"/>
    <x v="0"/>
    <x v="1"/>
    <x v="0"/>
    <x v="9"/>
    <n v="2"/>
    <n v="14225"/>
    <n v="0"/>
    <n v="28450"/>
    <n v="22885.89"/>
    <n v="5564.11"/>
    <x v="1"/>
    <n v="5"/>
    <b v="0"/>
  </r>
  <r>
    <s v="ORD1127"/>
    <x v="110"/>
    <s v="CUST1006"/>
    <x v="68"/>
    <x v="1"/>
    <x v="0"/>
    <x v="3"/>
    <x v="0"/>
    <x v="1"/>
    <n v="3"/>
    <n v="9038"/>
    <n v="0.15"/>
    <n v="23046.9"/>
    <n v="12862.79"/>
    <n v="10184.11"/>
    <x v="1"/>
    <n v="2"/>
    <b v="0"/>
  </r>
  <r>
    <s v="ORD1128"/>
    <x v="70"/>
    <s v="CUST1015"/>
    <x v="71"/>
    <x v="2"/>
    <x v="0"/>
    <x v="4"/>
    <x v="3"/>
    <x v="5"/>
    <n v="5"/>
    <n v="23635"/>
    <n v="0.1"/>
    <n v="106357.5"/>
    <n v="74339.399999999994"/>
    <n v="32018.1"/>
    <x v="2"/>
    <n v="2"/>
    <b v="0"/>
  </r>
  <r>
    <s v="ORD1129"/>
    <x v="53"/>
    <s v="CUST1056"/>
    <x v="26"/>
    <x v="0"/>
    <x v="0"/>
    <x v="2"/>
    <x v="3"/>
    <x v="6"/>
    <n v="6"/>
    <n v="3718"/>
    <n v="0.1"/>
    <n v="20077.2"/>
    <n v="17342.38"/>
    <n v="2734.82"/>
    <x v="2"/>
    <n v="5"/>
    <b v="0"/>
  </r>
  <r>
    <s v="ORD1130"/>
    <x v="45"/>
    <s v="CUST1038"/>
    <x v="2"/>
    <x v="0"/>
    <x v="0"/>
    <x v="6"/>
    <x v="0"/>
    <x v="11"/>
    <n v="3"/>
    <n v="4331"/>
    <n v="0.1"/>
    <n v="11693.7"/>
    <n v="7635.33"/>
    <n v="4058.37"/>
    <x v="2"/>
    <n v="1"/>
    <b v="0"/>
  </r>
  <r>
    <s v="ORD1131"/>
    <x v="111"/>
    <s v="CUST1093"/>
    <x v="65"/>
    <x v="3"/>
    <x v="0"/>
    <x v="6"/>
    <x v="0"/>
    <x v="9"/>
    <n v="2"/>
    <n v="13006"/>
    <n v="0.1"/>
    <n v="23410.799999999999"/>
    <n v="20355.78"/>
    <n v="3055.02"/>
    <x v="1"/>
    <n v="2"/>
    <b v="0"/>
  </r>
  <r>
    <s v="ORD1132"/>
    <x v="112"/>
    <s v="CUST1015"/>
    <x v="22"/>
    <x v="1"/>
    <x v="1"/>
    <x v="2"/>
    <x v="2"/>
    <x v="10"/>
    <n v="5"/>
    <n v="1397"/>
    <n v="0.2"/>
    <n v="5588"/>
    <n v="4754.8599999999997"/>
    <n v="833.14"/>
    <x v="0"/>
    <n v="4"/>
    <b v="0"/>
  </r>
  <r>
    <s v="ORD1133"/>
    <x v="113"/>
    <s v="CUST1002"/>
    <x v="72"/>
    <x v="1"/>
    <x v="0"/>
    <x v="0"/>
    <x v="0"/>
    <x v="0"/>
    <n v="6"/>
    <n v="3615"/>
    <n v="0.15"/>
    <n v="18436.5"/>
    <n v="10530.73"/>
    <n v="7905.77"/>
    <x v="0"/>
    <n v="1"/>
    <b v="0"/>
  </r>
  <r>
    <s v="ORD1134"/>
    <x v="114"/>
    <s v="CUST1032"/>
    <x v="73"/>
    <x v="1"/>
    <x v="0"/>
    <x v="3"/>
    <x v="1"/>
    <x v="4"/>
    <n v="6"/>
    <n v="29923"/>
    <n v="0.25"/>
    <n v="134653.5"/>
    <n v="117370.85"/>
    <n v="17282.650000000001"/>
    <x v="2"/>
    <n v="1"/>
    <b v="0"/>
  </r>
  <r>
    <s v="ORD1135"/>
    <x v="112"/>
    <s v="CUST1032"/>
    <x v="68"/>
    <x v="1"/>
    <x v="1"/>
    <x v="7"/>
    <x v="2"/>
    <x v="15"/>
    <n v="3"/>
    <n v="1197"/>
    <n v="0"/>
    <n v="3591"/>
    <n v="2096.86"/>
    <n v="1494.14"/>
    <x v="2"/>
    <n v="4"/>
    <b v="0"/>
  </r>
  <r>
    <s v="ORD1136"/>
    <x v="22"/>
    <s v="CUST1077"/>
    <x v="70"/>
    <x v="3"/>
    <x v="0"/>
    <x v="4"/>
    <x v="3"/>
    <x v="6"/>
    <n v="8"/>
    <n v="23560"/>
    <n v="0"/>
    <n v="188480"/>
    <n v="135864.84"/>
    <n v="52615.16"/>
    <x v="1"/>
    <n v="2"/>
    <b v="0"/>
  </r>
  <r>
    <s v="ORD1137"/>
    <x v="29"/>
    <s v="CUST1075"/>
    <x v="74"/>
    <x v="2"/>
    <x v="0"/>
    <x v="7"/>
    <x v="2"/>
    <x v="15"/>
    <n v="6"/>
    <n v="5668"/>
    <n v="0.05"/>
    <n v="32307.599999999999"/>
    <n v="18208.259999999998"/>
    <n v="14099.34"/>
    <x v="0"/>
    <n v="1"/>
    <b v="0"/>
  </r>
  <r>
    <s v="ORD1138"/>
    <x v="115"/>
    <s v="CUST1062"/>
    <x v="24"/>
    <x v="0"/>
    <x v="1"/>
    <x v="0"/>
    <x v="2"/>
    <x v="3"/>
    <n v="1"/>
    <n v="5789"/>
    <n v="0.05"/>
    <n v="5499.55"/>
    <n v="4159.59"/>
    <n v="1339.96"/>
    <x v="2"/>
    <n v="2"/>
    <b v="0"/>
  </r>
  <r>
    <s v="ORD1139"/>
    <x v="116"/>
    <s v="CUST1087"/>
    <x v="33"/>
    <x v="2"/>
    <x v="0"/>
    <x v="5"/>
    <x v="3"/>
    <x v="12"/>
    <n v="3"/>
    <n v="1498"/>
    <n v="0.15"/>
    <n v="3819.9"/>
    <n v="3023.16"/>
    <n v="796.74"/>
    <x v="3"/>
    <n v="2"/>
    <b v="0"/>
  </r>
  <r>
    <s v="ORD1140"/>
    <x v="117"/>
    <s v="CUST1032"/>
    <x v="13"/>
    <x v="0"/>
    <x v="1"/>
    <x v="7"/>
    <x v="2"/>
    <x v="15"/>
    <n v="4"/>
    <n v="6057"/>
    <n v="0.2"/>
    <n v="19382.400000000001"/>
    <n v="15711.38"/>
    <n v="3671.02"/>
    <x v="1"/>
    <n v="3"/>
    <b v="0"/>
  </r>
  <r>
    <s v="ORD1141"/>
    <x v="64"/>
    <s v="CUST1035"/>
    <x v="74"/>
    <x v="2"/>
    <x v="1"/>
    <x v="2"/>
    <x v="1"/>
    <x v="13"/>
    <n v="8"/>
    <n v="73130"/>
    <n v="0.1"/>
    <n v="526536"/>
    <n v="303760.59000000003"/>
    <n v="222775.41"/>
    <x v="3"/>
    <n v="1"/>
    <b v="0"/>
  </r>
  <r>
    <s v="ORD1142"/>
    <x v="86"/>
    <s v="CUST1004"/>
    <x v="26"/>
    <x v="0"/>
    <x v="1"/>
    <x v="4"/>
    <x v="0"/>
    <x v="0"/>
    <n v="6"/>
    <n v="14423"/>
    <n v="0.05"/>
    <n v="82211.100000000006"/>
    <n v="65365.48"/>
    <n v="16845.62"/>
    <x v="2"/>
    <n v="2"/>
    <b v="0"/>
  </r>
  <r>
    <s v="ORD1143"/>
    <x v="118"/>
    <s v="CUST1066"/>
    <x v="68"/>
    <x v="3"/>
    <x v="1"/>
    <x v="7"/>
    <x v="2"/>
    <x v="3"/>
    <n v="1"/>
    <n v="3733"/>
    <n v="0.2"/>
    <n v="2986.4"/>
    <n v="2032.3"/>
    <n v="954.1"/>
    <x v="3"/>
    <n v="2"/>
    <b v="0"/>
  </r>
  <r>
    <s v="ORD1144"/>
    <x v="119"/>
    <s v="CUST1021"/>
    <x v="2"/>
    <x v="0"/>
    <x v="0"/>
    <x v="1"/>
    <x v="2"/>
    <x v="15"/>
    <n v="6"/>
    <n v="3130"/>
    <n v="0.1"/>
    <n v="16902"/>
    <n v="12770.8"/>
    <n v="4131.2"/>
    <x v="2"/>
    <n v="4"/>
    <b v="0"/>
  </r>
  <r>
    <s v="ORD1145"/>
    <x v="86"/>
    <s v="CUST1069"/>
    <x v="20"/>
    <x v="1"/>
    <x v="0"/>
    <x v="7"/>
    <x v="3"/>
    <x v="12"/>
    <n v="2"/>
    <n v="6320"/>
    <n v="0.25"/>
    <n v="9480"/>
    <n v="6817.67"/>
    <n v="2662.33"/>
    <x v="1"/>
    <n v="4"/>
    <b v="0"/>
  </r>
  <r>
    <s v="ORD1146"/>
    <x v="58"/>
    <s v="CUST1017"/>
    <x v="6"/>
    <x v="3"/>
    <x v="1"/>
    <x v="1"/>
    <x v="2"/>
    <x v="15"/>
    <n v="8"/>
    <n v="4804"/>
    <n v="0.15"/>
    <n v="32667.200000000001"/>
    <n v="24359.07"/>
    <n v="8308.1299999999992"/>
    <x v="3"/>
    <n v="5"/>
    <b v="0"/>
  </r>
  <r>
    <s v="ORD1147"/>
    <x v="120"/>
    <s v="CUST1031"/>
    <x v="73"/>
    <x v="3"/>
    <x v="0"/>
    <x v="7"/>
    <x v="2"/>
    <x v="7"/>
    <n v="8"/>
    <n v="4950"/>
    <n v="0.15"/>
    <n v="33660"/>
    <n v="29285.58"/>
    <n v="4374.42"/>
    <x v="1"/>
    <n v="2"/>
    <b v="0"/>
  </r>
  <r>
    <s v="ORD1148"/>
    <x v="121"/>
    <s v="CUST1076"/>
    <x v="14"/>
    <x v="3"/>
    <x v="1"/>
    <x v="7"/>
    <x v="3"/>
    <x v="6"/>
    <n v="6"/>
    <n v="4071"/>
    <n v="0.2"/>
    <n v="19540.8"/>
    <n v="12351.27"/>
    <n v="7189.53"/>
    <x v="2"/>
    <n v="4"/>
    <b v="0"/>
  </r>
  <r>
    <s v="ORD1149"/>
    <x v="122"/>
    <s v="CUST1044"/>
    <x v="49"/>
    <x v="3"/>
    <x v="0"/>
    <x v="2"/>
    <x v="2"/>
    <x v="7"/>
    <n v="7"/>
    <n v="5445"/>
    <n v="0.2"/>
    <n v="30492"/>
    <n v="24637.26"/>
    <n v="5854.74"/>
    <x v="1"/>
    <n v="4"/>
    <b v="0"/>
  </r>
  <r>
    <s v="ORD1150"/>
    <x v="46"/>
    <s v="CUST1026"/>
    <x v="71"/>
    <x v="0"/>
    <x v="0"/>
    <x v="6"/>
    <x v="1"/>
    <x v="13"/>
    <n v="2"/>
    <n v="74013"/>
    <n v="0"/>
    <n v="148026"/>
    <n v="107361.18"/>
    <n v="40664.82"/>
    <x v="1"/>
    <n v="5"/>
    <b v="0"/>
  </r>
  <r>
    <s v="ORD1151"/>
    <x v="123"/>
    <s v="CUST1053"/>
    <x v="72"/>
    <x v="3"/>
    <x v="0"/>
    <x v="7"/>
    <x v="2"/>
    <x v="7"/>
    <n v="1"/>
    <n v="4255"/>
    <n v="0.25"/>
    <n v="3191.25"/>
    <n v="2479.9499999999998"/>
    <n v="711.3"/>
    <x v="1"/>
    <n v="1"/>
    <b v="0"/>
  </r>
  <r>
    <s v="ORD1152"/>
    <x v="124"/>
    <s v="CUST1084"/>
    <x v="57"/>
    <x v="2"/>
    <x v="1"/>
    <x v="5"/>
    <x v="1"/>
    <x v="2"/>
    <n v="7"/>
    <n v="34542"/>
    <n v="0.1"/>
    <n v="217614.6"/>
    <n v="154793.48000000001"/>
    <n v="62821.120000000003"/>
    <x v="2"/>
    <n v="2"/>
    <b v="0"/>
  </r>
  <r>
    <s v="ORD1153"/>
    <x v="71"/>
    <s v="CUST1096"/>
    <x v="9"/>
    <x v="2"/>
    <x v="1"/>
    <x v="2"/>
    <x v="0"/>
    <x v="1"/>
    <n v="8"/>
    <n v="14558"/>
    <n v="0"/>
    <n v="116464"/>
    <n v="92143.26"/>
    <n v="24320.74"/>
    <x v="1"/>
    <n v="1"/>
    <b v="0"/>
  </r>
  <r>
    <s v="ORD1154"/>
    <x v="125"/>
    <s v="CUST1008"/>
    <x v="75"/>
    <x v="0"/>
    <x v="0"/>
    <x v="4"/>
    <x v="2"/>
    <x v="15"/>
    <n v="3"/>
    <n v="5593"/>
    <n v="0.05"/>
    <n v="15940.05"/>
    <n v="10051.299999999999"/>
    <n v="5888.75"/>
    <x v="3"/>
    <n v="1"/>
    <b v="0"/>
  </r>
  <r>
    <s v="ORD1155"/>
    <x v="126"/>
    <s v="CUST1090"/>
    <x v="12"/>
    <x v="2"/>
    <x v="1"/>
    <x v="1"/>
    <x v="0"/>
    <x v="0"/>
    <n v="1"/>
    <n v="3470"/>
    <n v="0.25"/>
    <n v="2602.5"/>
    <n v="1769.64"/>
    <n v="832.86"/>
    <x v="2"/>
    <n v="1"/>
    <b v="0"/>
  </r>
  <r>
    <s v="ORD1156"/>
    <x v="127"/>
    <s v="CUST1098"/>
    <x v="76"/>
    <x v="3"/>
    <x v="0"/>
    <x v="7"/>
    <x v="1"/>
    <x v="2"/>
    <n v="8"/>
    <n v="56630"/>
    <n v="0.2"/>
    <n v="362432"/>
    <n v="267154.2"/>
    <n v="95277.8"/>
    <x v="1"/>
    <n v="2"/>
    <b v="0"/>
  </r>
  <r>
    <s v="ORD1157"/>
    <x v="128"/>
    <s v="CUST1071"/>
    <x v="6"/>
    <x v="3"/>
    <x v="0"/>
    <x v="3"/>
    <x v="1"/>
    <x v="8"/>
    <n v="3"/>
    <n v="65272"/>
    <n v="0"/>
    <n v="195816"/>
    <n v="115466.62"/>
    <n v="80349.38"/>
    <x v="2"/>
    <n v="2"/>
    <b v="0"/>
  </r>
  <r>
    <s v="ORD1158"/>
    <x v="15"/>
    <s v="CUST1035"/>
    <x v="77"/>
    <x v="0"/>
    <x v="1"/>
    <x v="6"/>
    <x v="2"/>
    <x v="7"/>
    <n v="3"/>
    <n v="3353"/>
    <n v="0"/>
    <n v="10059"/>
    <n v="7512.47"/>
    <n v="2546.5300000000002"/>
    <x v="3"/>
    <n v="2"/>
    <b v="0"/>
  </r>
  <r>
    <s v="ORD1159"/>
    <x v="113"/>
    <s v="CUST1093"/>
    <x v="78"/>
    <x v="2"/>
    <x v="1"/>
    <x v="5"/>
    <x v="3"/>
    <x v="14"/>
    <n v="3"/>
    <n v="13788"/>
    <n v="0.05"/>
    <n v="39295.800000000003"/>
    <n v="27826.54"/>
    <n v="11469.26"/>
    <x v="1"/>
    <n v="5"/>
    <b v="0"/>
  </r>
  <r>
    <s v="ORD1160"/>
    <x v="129"/>
    <s v="CUST1043"/>
    <x v="1"/>
    <x v="0"/>
    <x v="0"/>
    <x v="2"/>
    <x v="0"/>
    <x v="9"/>
    <n v="7"/>
    <n v="6097"/>
    <n v="0.25"/>
    <n v="32009.25"/>
    <n v="25494.37"/>
    <n v="6514.88"/>
    <x v="2"/>
    <n v="5"/>
    <b v="0"/>
  </r>
  <r>
    <s v="ORD1161"/>
    <x v="130"/>
    <s v="CUST1034"/>
    <x v="58"/>
    <x v="1"/>
    <x v="1"/>
    <x v="0"/>
    <x v="2"/>
    <x v="7"/>
    <n v="4"/>
    <n v="7445"/>
    <n v="0.15"/>
    <n v="25313"/>
    <n v="21727.77"/>
    <n v="3585.23"/>
    <x v="0"/>
    <n v="4"/>
    <b v="0"/>
  </r>
  <r>
    <s v="ORD1162"/>
    <x v="100"/>
    <s v="CUST1002"/>
    <x v="79"/>
    <x v="2"/>
    <x v="1"/>
    <x v="1"/>
    <x v="2"/>
    <x v="7"/>
    <n v="7"/>
    <n v="4445"/>
    <n v="0.05"/>
    <n v="29559.25"/>
    <n v="22211.119999999999"/>
    <n v="7348.13"/>
    <x v="0"/>
    <n v="3"/>
    <b v="0"/>
  </r>
  <r>
    <s v="ORD1163"/>
    <x v="131"/>
    <s v="CUST1056"/>
    <x v="80"/>
    <x v="0"/>
    <x v="1"/>
    <x v="7"/>
    <x v="2"/>
    <x v="3"/>
    <n v="2"/>
    <n v="6478"/>
    <n v="0"/>
    <n v="12956"/>
    <n v="9551.33"/>
    <n v="3404.67"/>
    <x v="3"/>
    <n v="1"/>
    <b v="0"/>
  </r>
  <r>
    <s v="ORD1164"/>
    <x v="72"/>
    <s v="CUST1021"/>
    <x v="37"/>
    <x v="1"/>
    <x v="0"/>
    <x v="1"/>
    <x v="0"/>
    <x v="0"/>
    <n v="2"/>
    <n v="1951"/>
    <n v="0.2"/>
    <n v="3121.6"/>
    <n v="2336.62"/>
    <n v="784.98"/>
    <x v="0"/>
    <n v="2"/>
    <b v="0"/>
  </r>
  <r>
    <s v="ORD1165"/>
    <x v="86"/>
    <s v="CUST1068"/>
    <x v="45"/>
    <x v="1"/>
    <x v="0"/>
    <x v="4"/>
    <x v="3"/>
    <x v="14"/>
    <n v="5"/>
    <n v="22694"/>
    <n v="0"/>
    <n v="113470"/>
    <n v="71278.14"/>
    <n v="42191.86"/>
    <x v="2"/>
    <n v="2"/>
    <b v="0"/>
  </r>
  <r>
    <s v="ORD1166"/>
    <x v="80"/>
    <s v="CUST1099"/>
    <x v="66"/>
    <x v="3"/>
    <x v="0"/>
    <x v="5"/>
    <x v="3"/>
    <x v="12"/>
    <n v="4"/>
    <n v="4168"/>
    <n v="0.05"/>
    <n v="15838.4"/>
    <n v="9510.7199999999993"/>
    <n v="6327.68"/>
    <x v="0"/>
    <n v="5"/>
    <b v="0"/>
  </r>
  <r>
    <s v="ORD1167"/>
    <x v="132"/>
    <s v="CUST1057"/>
    <x v="22"/>
    <x v="0"/>
    <x v="1"/>
    <x v="6"/>
    <x v="2"/>
    <x v="3"/>
    <n v="7"/>
    <n v="4555"/>
    <n v="0.05"/>
    <n v="30290.75"/>
    <n v="19227.71"/>
    <n v="11063.04"/>
    <x v="3"/>
    <n v="5"/>
    <b v="0"/>
  </r>
  <r>
    <s v="ORD1168"/>
    <x v="6"/>
    <s v="CUST1060"/>
    <x v="36"/>
    <x v="2"/>
    <x v="1"/>
    <x v="1"/>
    <x v="2"/>
    <x v="15"/>
    <n v="6"/>
    <n v="3788"/>
    <n v="0"/>
    <n v="22728"/>
    <n v="17693.84"/>
    <n v="5034.16"/>
    <x v="1"/>
    <n v="2"/>
    <b v="0"/>
  </r>
  <r>
    <s v="ORD1169"/>
    <x v="133"/>
    <s v="CUST1008"/>
    <x v="53"/>
    <x v="1"/>
    <x v="1"/>
    <x v="3"/>
    <x v="2"/>
    <x v="7"/>
    <n v="6"/>
    <n v="2413"/>
    <n v="0.2"/>
    <n v="11582.4"/>
    <n v="9788.09"/>
    <n v="1794.31"/>
    <x v="3"/>
    <n v="4"/>
    <b v="0"/>
  </r>
  <r>
    <s v="ORD1170"/>
    <x v="134"/>
    <s v="CUST1008"/>
    <x v="8"/>
    <x v="3"/>
    <x v="0"/>
    <x v="7"/>
    <x v="1"/>
    <x v="13"/>
    <n v="2"/>
    <n v="50485"/>
    <n v="0.15"/>
    <n v="85824.5"/>
    <n v="53822.69"/>
    <n v="32001.81"/>
    <x v="2"/>
    <n v="5"/>
    <b v="0"/>
  </r>
  <r>
    <s v="ORD1171"/>
    <x v="135"/>
    <s v="CUST1035"/>
    <x v="66"/>
    <x v="2"/>
    <x v="1"/>
    <x v="4"/>
    <x v="2"/>
    <x v="15"/>
    <n v="6"/>
    <n v="798"/>
    <n v="0.15"/>
    <n v="4069.8"/>
    <n v="3127.26"/>
    <n v="942.54"/>
    <x v="2"/>
    <n v="4"/>
    <b v="0"/>
  </r>
  <r>
    <s v="ORD1172"/>
    <x v="136"/>
    <s v="CUST1062"/>
    <x v="70"/>
    <x v="2"/>
    <x v="0"/>
    <x v="0"/>
    <x v="0"/>
    <x v="0"/>
    <n v="5"/>
    <n v="9634"/>
    <n v="0"/>
    <n v="48170"/>
    <n v="29203.43"/>
    <n v="18966.57"/>
    <x v="2"/>
    <n v="1"/>
    <b v="0"/>
  </r>
  <r>
    <s v="ORD1173"/>
    <x v="12"/>
    <s v="CUST1005"/>
    <x v="30"/>
    <x v="1"/>
    <x v="1"/>
    <x v="4"/>
    <x v="0"/>
    <x v="9"/>
    <n v="4"/>
    <n v="7281"/>
    <n v="0.25"/>
    <n v="21843"/>
    <n v="13704.99"/>
    <n v="8138.01"/>
    <x v="0"/>
    <n v="1"/>
    <b v="0"/>
  </r>
  <r>
    <s v="ORD1174"/>
    <x v="68"/>
    <s v="CUST1098"/>
    <x v="35"/>
    <x v="2"/>
    <x v="0"/>
    <x v="2"/>
    <x v="1"/>
    <x v="13"/>
    <n v="6"/>
    <n v="19873"/>
    <n v="0"/>
    <n v="119238"/>
    <n v="89523.95"/>
    <n v="29714.05"/>
    <x v="1"/>
    <n v="5"/>
    <b v="0"/>
  </r>
  <r>
    <s v="ORD1175"/>
    <x v="137"/>
    <s v="CUST1052"/>
    <x v="12"/>
    <x v="2"/>
    <x v="1"/>
    <x v="4"/>
    <x v="1"/>
    <x v="2"/>
    <n v="2"/>
    <n v="70322"/>
    <n v="0"/>
    <n v="140644"/>
    <n v="101011.79"/>
    <n v="39632.21"/>
    <x v="1"/>
    <n v="3"/>
    <b v="0"/>
  </r>
  <r>
    <s v="ORD1176"/>
    <x v="138"/>
    <s v="CUST1049"/>
    <x v="11"/>
    <x v="2"/>
    <x v="1"/>
    <x v="5"/>
    <x v="2"/>
    <x v="10"/>
    <n v="6"/>
    <n v="4706"/>
    <n v="0.15"/>
    <n v="24000.6"/>
    <n v="14851.77"/>
    <n v="9148.83"/>
    <x v="3"/>
    <n v="2"/>
    <b v="0"/>
  </r>
  <r>
    <s v="ORD1177"/>
    <x v="139"/>
    <s v="CUST1066"/>
    <x v="38"/>
    <x v="2"/>
    <x v="0"/>
    <x v="1"/>
    <x v="3"/>
    <x v="5"/>
    <n v="3"/>
    <n v="19856"/>
    <n v="0.15"/>
    <n v="50632.800000000003"/>
    <n v="41528.14"/>
    <n v="9104.66"/>
    <x v="1"/>
    <n v="4"/>
    <b v="0"/>
  </r>
  <r>
    <s v="ORD1178"/>
    <x v="140"/>
    <s v="CUST1095"/>
    <x v="35"/>
    <x v="2"/>
    <x v="1"/>
    <x v="0"/>
    <x v="0"/>
    <x v="11"/>
    <n v="1"/>
    <n v="8755"/>
    <n v="0.2"/>
    <n v="7004"/>
    <n v="5844.59"/>
    <n v="1159.4100000000001"/>
    <x v="1"/>
    <n v="5"/>
    <b v="0"/>
  </r>
  <r>
    <s v="ORD1179"/>
    <x v="92"/>
    <s v="CUST1079"/>
    <x v="81"/>
    <x v="1"/>
    <x v="1"/>
    <x v="4"/>
    <x v="2"/>
    <x v="10"/>
    <n v="1"/>
    <n v="6672"/>
    <n v="0.2"/>
    <n v="5337.6"/>
    <n v="3583.06"/>
    <n v="1754.54"/>
    <x v="2"/>
    <n v="4"/>
    <b v="0"/>
  </r>
  <r>
    <s v="ORD1180"/>
    <x v="35"/>
    <s v="CUST1093"/>
    <x v="31"/>
    <x v="3"/>
    <x v="1"/>
    <x v="4"/>
    <x v="2"/>
    <x v="15"/>
    <n v="4"/>
    <n v="3740"/>
    <n v="0.15"/>
    <n v="12716"/>
    <n v="10566.72"/>
    <n v="2149.2800000000002"/>
    <x v="3"/>
    <n v="3"/>
    <b v="0"/>
  </r>
  <r>
    <s v="ORD1181"/>
    <x v="105"/>
    <s v="CUST1050"/>
    <x v="82"/>
    <x v="0"/>
    <x v="0"/>
    <x v="3"/>
    <x v="2"/>
    <x v="7"/>
    <n v="3"/>
    <n v="1858"/>
    <n v="0"/>
    <n v="5574"/>
    <n v="3172.69"/>
    <n v="2401.31"/>
    <x v="3"/>
    <n v="3"/>
    <b v="0"/>
  </r>
  <r>
    <s v="ORD1182"/>
    <x v="141"/>
    <s v="CUST1016"/>
    <x v="53"/>
    <x v="3"/>
    <x v="1"/>
    <x v="2"/>
    <x v="2"/>
    <x v="7"/>
    <n v="1"/>
    <n v="6348"/>
    <n v="0.25"/>
    <n v="4761"/>
    <n v="2777.31"/>
    <n v="1983.69"/>
    <x v="2"/>
    <n v="1"/>
    <b v="0"/>
  </r>
  <r>
    <s v="ORD1183"/>
    <x v="142"/>
    <s v="CUST1050"/>
    <x v="7"/>
    <x v="3"/>
    <x v="1"/>
    <x v="2"/>
    <x v="2"/>
    <x v="3"/>
    <n v="4"/>
    <n v="1721"/>
    <n v="0.15"/>
    <n v="5851.4"/>
    <n v="4235.97"/>
    <n v="1615.43"/>
    <x v="1"/>
    <n v="5"/>
    <b v="0"/>
  </r>
  <r>
    <s v="ORD1184"/>
    <x v="143"/>
    <s v="CUST1055"/>
    <x v="23"/>
    <x v="0"/>
    <x v="0"/>
    <x v="5"/>
    <x v="2"/>
    <x v="10"/>
    <n v="4"/>
    <n v="4060"/>
    <n v="0.2"/>
    <n v="12992"/>
    <n v="8805.15"/>
    <n v="4186.8500000000004"/>
    <x v="1"/>
    <n v="5"/>
    <b v="0"/>
  </r>
  <r>
    <s v="ORD1185"/>
    <x v="144"/>
    <s v="CUST1085"/>
    <x v="65"/>
    <x v="2"/>
    <x v="0"/>
    <x v="5"/>
    <x v="2"/>
    <x v="15"/>
    <n v="8"/>
    <n v="4468"/>
    <n v="0"/>
    <n v="35744"/>
    <n v="23475.06"/>
    <n v="12268.94"/>
    <x v="2"/>
    <n v="4"/>
    <b v="0"/>
  </r>
  <r>
    <s v="ORD1186"/>
    <x v="117"/>
    <s v="CUST1026"/>
    <x v="81"/>
    <x v="3"/>
    <x v="1"/>
    <x v="0"/>
    <x v="2"/>
    <x v="7"/>
    <n v="4"/>
    <n v="5310"/>
    <n v="0.2"/>
    <n v="16992"/>
    <n v="14080.21"/>
    <n v="2911.79"/>
    <x v="2"/>
    <n v="2"/>
    <b v="0"/>
  </r>
  <r>
    <s v="ORD1187"/>
    <x v="145"/>
    <s v="CUST1013"/>
    <x v="83"/>
    <x v="1"/>
    <x v="1"/>
    <x v="3"/>
    <x v="2"/>
    <x v="7"/>
    <n v="5"/>
    <n v="3398"/>
    <n v="0.25"/>
    <n v="12742.5"/>
    <n v="8658.4"/>
    <n v="4084.1"/>
    <x v="0"/>
    <n v="1"/>
    <b v="0"/>
  </r>
  <r>
    <s v="ORD1188"/>
    <x v="90"/>
    <s v="CUST1021"/>
    <x v="84"/>
    <x v="2"/>
    <x v="0"/>
    <x v="1"/>
    <x v="0"/>
    <x v="9"/>
    <n v="5"/>
    <n v="4407"/>
    <n v="0.05"/>
    <n v="20933.25"/>
    <n v="11778.74"/>
    <n v="9154.51"/>
    <x v="2"/>
    <n v="3"/>
    <b v="0"/>
  </r>
  <r>
    <s v="ORD1189"/>
    <x v="146"/>
    <s v="CUST1008"/>
    <x v="85"/>
    <x v="2"/>
    <x v="0"/>
    <x v="2"/>
    <x v="0"/>
    <x v="0"/>
    <n v="7"/>
    <n v="13374"/>
    <n v="0.2"/>
    <n v="74894.399999999994"/>
    <n v="44903.37"/>
    <n v="29991.03"/>
    <x v="3"/>
    <n v="1"/>
    <b v="0"/>
  </r>
  <r>
    <s v="ORD1190"/>
    <x v="90"/>
    <s v="CUST1058"/>
    <x v="82"/>
    <x v="3"/>
    <x v="1"/>
    <x v="6"/>
    <x v="2"/>
    <x v="3"/>
    <n v="3"/>
    <n v="492"/>
    <n v="0.2"/>
    <n v="1180.8"/>
    <n v="847.62"/>
    <n v="333.18"/>
    <x v="2"/>
    <n v="3"/>
    <b v="0"/>
  </r>
  <r>
    <s v="ORD1191"/>
    <x v="10"/>
    <s v="CUST1008"/>
    <x v="83"/>
    <x v="0"/>
    <x v="1"/>
    <x v="2"/>
    <x v="2"/>
    <x v="3"/>
    <n v="3"/>
    <n v="1723"/>
    <n v="0.2"/>
    <n v="4135.2"/>
    <n v="3024.37"/>
    <n v="1110.83"/>
    <x v="2"/>
    <n v="4"/>
    <b v="0"/>
  </r>
  <r>
    <s v="ORD1192"/>
    <x v="80"/>
    <s v="CUST1036"/>
    <x v="81"/>
    <x v="3"/>
    <x v="0"/>
    <x v="3"/>
    <x v="2"/>
    <x v="3"/>
    <n v="8"/>
    <n v="2132"/>
    <n v="0"/>
    <n v="17056"/>
    <n v="11530.54"/>
    <n v="5525.46"/>
    <x v="0"/>
    <n v="2"/>
    <b v="0"/>
  </r>
  <r>
    <s v="ORD1193"/>
    <x v="147"/>
    <s v="CUST1013"/>
    <x v="65"/>
    <x v="0"/>
    <x v="0"/>
    <x v="0"/>
    <x v="3"/>
    <x v="12"/>
    <n v="2"/>
    <n v="8394"/>
    <n v="0.15"/>
    <n v="14269.8"/>
    <n v="9227.2999999999993"/>
    <n v="5042.5"/>
    <x v="2"/>
    <n v="4"/>
    <b v="0"/>
  </r>
  <r>
    <s v="ORD1194"/>
    <x v="148"/>
    <s v="CUST1059"/>
    <x v="58"/>
    <x v="2"/>
    <x v="1"/>
    <x v="3"/>
    <x v="2"/>
    <x v="15"/>
    <n v="7"/>
    <n v="1242"/>
    <n v="0.05"/>
    <n v="8259.2999999999993"/>
    <n v="5154.82"/>
    <n v="3104.48"/>
    <x v="1"/>
    <n v="4"/>
    <b v="0"/>
  </r>
  <r>
    <s v="ORD1195"/>
    <x v="0"/>
    <s v="CUST1032"/>
    <x v="44"/>
    <x v="2"/>
    <x v="0"/>
    <x v="3"/>
    <x v="0"/>
    <x v="0"/>
    <n v="4"/>
    <n v="3203"/>
    <n v="0.25"/>
    <n v="9609"/>
    <n v="5325.27"/>
    <n v="4283.7299999999996"/>
    <x v="2"/>
    <n v="1"/>
    <b v="0"/>
  </r>
  <r>
    <s v="ORD1196"/>
    <x v="149"/>
    <s v="CUST1007"/>
    <x v="57"/>
    <x v="0"/>
    <x v="1"/>
    <x v="6"/>
    <x v="3"/>
    <x v="14"/>
    <n v="5"/>
    <n v="5916"/>
    <n v="0.25"/>
    <n v="22185"/>
    <n v="18366.060000000001"/>
    <n v="3818.94"/>
    <x v="2"/>
    <n v="3"/>
    <b v="0"/>
  </r>
  <r>
    <s v="ORD1197"/>
    <x v="150"/>
    <s v="CUST1050"/>
    <x v="56"/>
    <x v="3"/>
    <x v="0"/>
    <x v="2"/>
    <x v="3"/>
    <x v="6"/>
    <n v="5"/>
    <n v="18335"/>
    <n v="0.05"/>
    <n v="87091.25"/>
    <n v="51686.09"/>
    <n v="35405.160000000003"/>
    <x v="2"/>
    <n v="4"/>
    <b v="0"/>
  </r>
  <r>
    <s v="ORD1198"/>
    <x v="151"/>
    <s v="CUST1023"/>
    <x v="71"/>
    <x v="3"/>
    <x v="0"/>
    <x v="4"/>
    <x v="3"/>
    <x v="12"/>
    <n v="5"/>
    <n v="14964"/>
    <n v="0.1"/>
    <n v="67338"/>
    <n v="43647.88"/>
    <n v="23690.12"/>
    <x v="3"/>
    <n v="1"/>
    <b v="0"/>
  </r>
  <r>
    <s v="ORD1199"/>
    <x v="152"/>
    <s v="CUST1065"/>
    <x v="76"/>
    <x v="1"/>
    <x v="0"/>
    <x v="0"/>
    <x v="1"/>
    <x v="8"/>
    <n v="8"/>
    <n v="35048"/>
    <n v="0"/>
    <n v="280384"/>
    <n v="222839.38"/>
    <n v="57544.62"/>
    <x v="2"/>
    <n v="2"/>
    <b v="0"/>
  </r>
  <r>
    <s v="ORD1200"/>
    <x v="153"/>
    <s v="CUST1041"/>
    <x v="32"/>
    <x v="2"/>
    <x v="1"/>
    <x v="4"/>
    <x v="2"/>
    <x v="7"/>
    <n v="2"/>
    <n v="6042"/>
    <n v="0.25"/>
    <n v="9063"/>
    <n v="6826.93"/>
    <n v="2236.0700000000002"/>
    <x v="1"/>
    <n v="2"/>
    <b v="0"/>
  </r>
  <r>
    <s v="ORD1201"/>
    <x v="46"/>
    <s v="CUST1075"/>
    <x v="41"/>
    <x v="2"/>
    <x v="0"/>
    <x v="2"/>
    <x v="3"/>
    <x v="5"/>
    <n v="4"/>
    <n v="18770"/>
    <n v="0.25"/>
    <n v="56310"/>
    <n v="44898.78"/>
    <n v="11411.22"/>
    <x v="1"/>
    <n v="3"/>
    <b v="0"/>
  </r>
  <r>
    <s v="ORD1202"/>
    <x v="154"/>
    <s v="CUST1026"/>
    <x v="64"/>
    <x v="3"/>
    <x v="0"/>
    <x v="7"/>
    <x v="3"/>
    <x v="6"/>
    <n v="7"/>
    <n v="11491"/>
    <n v="0.15"/>
    <n v="68371.45"/>
    <n v="55212.13"/>
    <n v="13159.32"/>
    <x v="2"/>
    <n v="5"/>
    <b v="0"/>
  </r>
  <r>
    <s v="ORD1203"/>
    <x v="155"/>
    <s v="CUST1071"/>
    <x v="76"/>
    <x v="2"/>
    <x v="1"/>
    <x v="6"/>
    <x v="3"/>
    <x v="5"/>
    <n v="4"/>
    <n v="4942"/>
    <n v="0.2"/>
    <n v="15814.4"/>
    <n v="9183.2199999999993"/>
    <n v="6631.18"/>
    <x v="2"/>
    <n v="5"/>
    <b v="0"/>
  </r>
  <r>
    <s v="ORD1204"/>
    <x v="156"/>
    <s v="CUST1082"/>
    <x v="21"/>
    <x v="1"/>
    <x v="1"/>
    <x v="4"/>
    <x v="3"/>
    <x v="12"/>
    <n v="4"/>
    <n v="14236"/>
    <n v="0.25"/>
    <n v="42708"/>
    <n v="30347.33"/>
    <n v="12360.67"/>
    <x v="3"/>
    <n v="1"/>
    <b v="0"/>
  </r>
  <r>
    <s v="ORD1205"/>
    <x v="113"/>
    <s v="CUST1031"/>
    <x v="86"/>
    <x v="0"/>
    <x v="0"/>
    <x v="0"/>
    <x v="3"/>
    <x v="12"/>
    <n v="6"/>
    <n v="17538"/>
    <n v="0.15"/>
    <n v="89443.8"/>
    <n v="72361.47"/>
    <n v="17082.330000000002"/>
    <x v="0"/>
    <n v="4"/>
    <b v="0"/>
  </r>
  <r>
    <s v="ORD1206"/>
    <x v="157"/>
    <s v="CUST1047"/>
    <x v="47"/>
    <x v="2"/>
    <x v="1"/>
    <x v="7"/>
    <x v="2"/>
    <x v="7"/>
    <n v="7"/>
    <n v="2193"/>
    <n v="0.15"/>
    <n v="13048.35"/>
    <n v="7445.9"/>
    <n v="5602.45"/>
    <x v="0"/>
    <n v="1"/>
    <b v="0"/>
  </r>
  <r>
    <s v="ORD1207"/>
    <x v="158"/>
    <s v="CUST1078"/>
    <x v="47"/>
    <x v="3"/>
    <x v="0"/>
    <x v="1"/>
    <x v="3"/>
    <x v="6"/>
    <n v="4"/>
    <n v="19748"/>
    <n v="0.1"/>
    <n v="71092.800000000003"/>
    <n v="55192.95"/>
    <n v="15899.85"/>
    <x v="2"/>
    <n v="5"/>
    <b v="0"/>
  </r>
  <r>
    <s v="ORD1208"/>
    <x v="159"/>
    <s v="CUST1070"/>
    <x v="46"/>
    <x v="3"/>
    <x v="0"/>
    <x v="6"/>
    <x v="0"/>
    <x v="0"/>
    <n v="2"/>
    <n v="5217"/>
    <n v="0.2"/>
    <n v="8347.2000000000007"/>
    <n v="6519.86"/>
    <n v="1827.34"/>
    <x v="0"/>
    <n v="3"/>
    <b v="0"/>
  </r>
  <r>
    <s v="ORD1209"/>
    <x v="80"/>
    <s v="CUST1021"/>
    <x v="43"/>
    <x v="2"/>
    <x v="0"/>
    <x v="4"/>
    <x v="2"/>
    <x v="15"/>
    <n v="2"/>
    <n v="7033"/>
    <n v="0.2"/>
    <n v="11252.8"/>
    <n v="7903.65"/>
    <n v="3349.15"/>
    <x v="1"/>
    <n v="2"/>
    <b v="0"/>
  </r>
  <r>
    <s v="ORD1210"/>
    <x v="34"/>
    <s v="CUST1070"/>
    <x v="42"/>
    <x v="1"/>
    <x v="1"/>
    <x v="4"/>
    <x v="3"/>
    <x v="12"/>
    <n v="7"/>
    <n v="12663"/>
    <n v="0"/>
    <n v="88641"/>
    <n v="71574.98"/>
    <n v="17066.02"/>
    <x v="2"/>
    <n v="4"/>
    <b v="0"/>
  </r>
  <r>
    <s v="ORD1211"/>
    <x v="129"/>
    <s v="CUST1030"/>
    <x v="37"/>
    <x v="3"/>
    <x v="0"/>
    <x v="6"/>
    <x v="2"/>
    <x v="3"/>
    <n v="8"/>
    <n v="3988"/>
    <n v="0.2"/>
    <n v="25523.200000000001"/>
    <n v="14618.57"/>
    <n v="10904.63"/>
    <x v="3"/>
    <n v="4"/>
    <b v="0"/>
  </r>
  <r>
    <s v="ORD1212"/>
    <x v="160"/>
    <s v="CUST1044"/>
    <x v="87"/>
    <x v="2"/>
    <x v="1"/>
    <x v="0"/>
    <x v="0"/>
    <x v="11"/>
    <n v="8"/>
    <n v="5757"/>
    <n v="0.05"/>
    <n v="43753.2"/>
    <n v="36261.800000000003"/>
    <n v="7491.4"/>
    <x v="3"/>
    <n v="4"/>
    <b v="0"/>
  </r>
  <r>
    <s v="ORD1213"/>
    <x v="161"/>
    <s v="CUST1070"/>
    <x v="2"/>
    <x v="2"/>
    <x v="1"/>
    <x v="0"/>
    <x v="3"/>
    <x v="12"/>
    <n v="1"/>
    <n v="8975"/>
    <n v="0.05"/>
    <n v="8526.25"/>
    <n v="5846.12"/>
    <n v="2680.13"/>
    <x v="3"/>
    <n v="4"/>
    <b v="0"/>
  </r>
  <r>
    <s v="ORD1214"/>
    <x v="162"/>
    <s v="CUST1057"/>
    <x v="64"/>
    <x v="1"/>
    <x v="0"/>
    <x v="1"/>
    <x v="2"/>
    <x v="3"/>
    <n v="7"/>
    <n v="3390"/>
    <n v="0.05"/>
    <n v="22543.5"/>
    <n v="15514.48"/>
    <n v="7029.02"/>
    <x v="0"/>
    <n v="3"/>
    <b v="0"/>
  </r>
  <r>
    <s v="ORD1215"/>
    <x v="163"/>
    <s v="CUST1050"/>
    <x v="81"/>
    <x v="0"/>
    <x v="1"/>
    <x v="3"/>
    <x v="3"/>
    <x v="14"/>
    <n v="8"/>
    <n v="8787"/>
    <n v="0.1"/>
    <n v="63266.400000000001"/>
    <n v="55089.96"/>
    <n v="8176.44"/>
    <x v="3"/>
    <n v="1"/>
    <b v="0"/>
  </r>
  <r>
    <s v="ORD1216"/>
    <x v="164"/>
    <s v="CUST1049"/>
    <x v="67"/>
    <x v="3"/>
    <x v="1"/>
    <x v="7"/>
    <x v="1"/>
    <x v="0"/>
    <n v="5"/>
    <n v="12944"/>
    <n v="0.05"/>
    <n v="61484"/>
    <n v="44824.3"/>
    <n v="16659.7"/>
    <x v="1"/>
    <n v="2"/>
    <b v="0"/>
  </r>
  <r>
    <s v="ORD1217"/>
    <x v="50"/>
    <s v="CUST1016"/>
    <x v="13"/>
    <x v="3"/>
    <x v="0"/>
    <x v="7"/>
    <x v="3"/>
    <x v="14"/>
    <n v="5"/>
    <n v="23670"/>
    <n v="0"/>
    <n v="118350"/>
    <n v="91221.5"/>
    <n v="27128.5"/>
    <x v="2"/>
    <n v="4"/>
    <b v="0"/>
  </r>
  <r>
    <s v="ORD1218"/>
    <x v="165"/>
    <s v="CUST1020"/>
    <x v="78"/>
    <x v="0"/>
    <x v="1"/>
    <x v="7"/>
    <x v="3"/>
    <x v="12"/>
    <n v="8"/>
    <n v="19953"/>
    <n v="0"/>
    <n v="159624"/>
    <n v="98400.22"/>
    <n v="61223.78"/>
    <x v="2"/>
    <n v="5"/>
    <b v="0"/>
  </r>
  <r>
    <s v="ORD1219"/>
    <x v="45"/>
    <s v="CUST1028"/>
    <x v="78"/>
    <x v="0"/>
    <x v="0"/>
    <x v="1"/>
    <x v="3"/>
    <x v="6"/>
    <n v="4"/>
    <n v="6760"/>
    <n v="0.2"/>
    <n v="21632"/>
    <n v="15118.8"/>
    <n v="6513.2"/>
    <x v="0"/>
    <n v="3"/>
    <b v="0"/>
  </r>
  <r>
    <s v="ORD1220"/>
    <x v="166"/>
    <s v="CUST1089"/>
    <x v="45"/>
    <x v="1"/>
    <x v="0"/>
    <x v="5"/>
    <x v="0"/>
    <x v="0"/>
    <n v="2"/>
    <n v="7618"/>
    <n v="0.25"/>
    <n v="11427"/>
    <n v="7687.37"/>
    <n v="3739.63"/>
    <x v="3"/>
    <n v="3"/>
    <b v="0"/>
  </r>
  <r>
    <s v="ORD1221"/>
    <x v="167"/>
    <s v="CUST1072"/>
    <x v="88"/>
    <x v="1"/>
    <x v="0"/>
    <x v="2"/>
    <x v="0"/>
    <x v="11"/>
    <n v="8"/>
    <n v="4521"/>
    <n v="0.15"/>
    <n v="30742.799999999999"/>
    <n v="24593.29"/>
    <n v="6149.51"/>
    <x v="2"/>
    <n v="2"/>
    <b v="0"/>
  </r>
  <r>
    <s v="ORD1222"/>
    <x v="150"/>
    <s v="CUST1040"/>
    <x v="51"/>
    <x v="2"/>
    <x v="0"/>
    <x v="2"/>
    <x v="0"/>
    <x v="9"/>
    <n v="6"/>
    <n v="11961"/>
    <n v="0.1"/>
    <n v="64589.4"/>
    <n v="43263.48"/>
    <n v="21325.919999999998"/>
    <x v="2"/>
    <n v="5"/>
    <b v="0"/>
  </r>
  <r>
    <s v="ORD1223"/>
    <x v="168"/>
    <s v="CUST1019"/>
    <x v="60"/>
    <x v="1"/>
    <x v="1"/>
    <x v="6"/>
    <x v="0"/>
    <x v="9"/>
    <n v="3"/>
    <n v="4903"/>
    <n v="0.25"/>
    <n v="11031.75"/>
    <n v="8307.44"/>
    <n v="2724.31"/>
    <x v="1"/>
    <n v="1"/>
    <b v="0"/>
  </r>
  <r>
    <s v="ORD1224"/>
    <x v="169"/>
    <s v="CUST1095"/>
    <x v="89"/>
    <x v="0"/>
    <x v="1"/>
    <x v="6"/>
    <x v="1"/>
    <x v="8"/>
    <n v="5"/>
    <n v="50360"/>
    <n v="0.2"/>
    <n v="201440"/>
    <n v="132264.23000000001"/>
    <n v="69175.77"/>
    <x v="0"/>
    <n v="1"/>
    <b v="0"/>
  </r>
  <r>
    <s v="ORD1225"/>
    <x v="143"/>
    <s v="CUST1099"/>
    <x v="74"/>
    <x v="0"/>
    <x v="0"/>
    <x v="3"/>
    <x v="1"/>
    <x v="13"/>
    <n v="1"/>
    <n v="61864"/>
    <n v="0.05"/>
    <n v="58770.8"/>
    <n v="33863.980000000003"/>
    <n v="24906.82"/>
    <x v="2"/>
    <n v="2"/>
    <b v="0"/>
  </r>
  <r>
    <s v="ORD1226"/>
    <x v="129"/>
    <s v="CUST1073"/>
    <x v="62"/>
    <x v="2"/>
    <x v="1"/>
    <x v="7"/>
    <x v="2"/>
    <x v="3"/>
    <n v="4"/>
    <n v="7909"/>
    <n v="0.05"/>
    <n v="30054.2"/>
    <n v="24678.71"/>
    <n v="5375.49"/>
    <x v="3"/>
    <n v="4"/>
    <b v="0"/>
  </r>
  <r>
    <s v="ORD1227"/>
    <x v="139"/>
    <s v="CUST1052"/>
    <x v="5"/>
    <x v="1"/>
    <x v="0"/>
    <x v="2"/>
    <x v="3"/>
    <x v="5"/>
    <n v="8"/>
    <n v="17944"/>
    <n v="0.05"/>
    <n v="136374.39999999999"/>
    <n v="79534.960000000006"/>
    <n v="56839.44"/>
    <x v="1"/>
    <n v="2"/>
    <b v="0"/>
  </r>
  <r>
    <s v="ORD1228"/>
    <x v="170"/>
    <s v="CUST1094"/>
    <x v="2"/>
    <x v="0"/>
    <x v="0"/>
    <x v="3"/>
    <x v="1"/>
    <x v="8"/>
    <n v="8"/>
    <n v="43632"/>
    <n v="0"/>
    <n v="349056"/>
    <n v="288905.86"/>
    <n v="60150.14"/>
    <x v="2"/>
    <n v="5"/>
    <b v="0"/>
  </r>
  <r>
    <s v="ORD1229"/>
    <x v="171"/>
    <s v="CUST1020"/>
    <x v="14"/>
    <x v="1"/>
    <x v="0"/>
    <x v="2"/>
    <x v="3"/>
    <x v="5"/>
    <n v="3"/>
    <n v="17315"/>
    <n v="0.15"/>
    <n v="44153.25"/>
    <n v="34216.6"/>
    <n v="9936.65"/>
    <x v="2"/>
    <n v="3"/>
    <b v="0"/>
  </r>
  <r>
    <s v="ORD1230"/>
    <x v="113"/>
    <s v="CUST1053"/>
    <x v="36"/>
    <x v="1"/>
    <x v="1"/>
    <x v="4"/>
    <x v="3"/>
    <x v="14"/>
    <n v="7"/>
    <n v="7980"/>
    <n v="0.2"/>
    <n v="44688"/>
    <n v="25067.84"/>
    <n v="19620.16"/>
    <x v="2"/>
    <n v="1"/>
    <b v="0"/>
  </r>
  <r>
    <s v="ORD1231"/>
    <x v="74"/>
    <s v="CUST1091"/>
    <x v="57"/>
    <x v="0"/>
    <x v="0"/>
    <x v="1"/>
    <x v="1"/>
    <x v="8"/>
    <n v="4"/>
    <n v="50142"/>
    <n v="0.05"/>
    <n v="190539.6"/>
    <n v="145715.85"/>
    <n v="44823.75"/>
    <x v="2"/>
    <n v="4"/>
    <b v="0"/>
  </r>
  <r>
    <s v="ORD1232"/>
    <x v="172"/>
    <s v="CUST1040"/>
    <x v="72"/>
    <x v="3"/>
    <x v="1"/>
    <x v="7"/>
    <x v="0"/>
    <x v="11"/>
    <n v="3"/>
    <n v="6368"/>
    <n v="0.25"/>
    <n v="14328"/>
    <n v="10145.56"/>
    <n v="4182.4399999999996"/>
    <x v="3"/>
    <n v="1"/>
    <b v="0"/>
  </r>
  <r>
    <s v="ORD1233"/>
    <x v="173"/>
    <s v="CUST1071"/>
    <x v="58"/>
    <x v="0"/>
    <x v="0"/>
    <x v="6"/>
    <x v="3"/>
    <x v="12"/>
    <n v="3"/>
    <n v="18972"/>
    <n v="0"/>
    <n v="56916"/>
    <n v="47070.79"/>
    <n v="9845.2099999999991"/>
    <x v="2"/>
    <n v="1"/>
    <b v="0"/>
  </r>
  <r>
    <s v="ORD1234"/>
    <x v="140"/>
    <s v="CUST1040"/>
    <x v="46"/>
    <x v="1"/>
    <x v="0"/>
    <x v="0"/>
    <x v="2"/>
    <x v="10"/>
    <n v="4"/>
    <n v="1256"/>
    <n v="0.25"/>
    <n v="3768"/>
    <n v="2221.92"/>
    <n v="1546.08"/>
    <x v="0"/>
    <n v="4"/>
    <b v="0"/>
  </r>
  <r>
    <s v="ORD1235"/>
    <x v="174"/>
    <s v="CUST1068"/>
    <x v="81"/>
    <x v="3"/>
    <x v="1"/>
    <x v="1"/>
    <x v="3"/>
    <x v="12"/>
    <n v="5"/>
    <n v="7782"/>
    <n v="0.1"/>
    <n v="35019"/>
    <n v="27699.37"/>
    <n v="7319.63"/>
    <x v="0"/>
    <n v="5"/>
    <b v="0"/>
  </r>
  <r>
    <s v="ORD1236"/>
    <x v="156"/>
    <s v="CUST1012"/>
    <x v="4"/>
    <x v="2"/>
    <x v="1"/>
    <x v="7"/>
    <x v="3"/>
    <x v="14"/>
    <n v="8"/>
    <n v="5041"/>
    <n v="0.2"/>
    <n v="32262.400000000001"/>
    <n v="26667.78"/>
    <n v="5594.62"/>
    <x v="1"/>
    <n v="5"/>
    <b v="0"/>
  </r>
  <r>
    <s v="ORD1237"/>
    <x v="171"/>
    <s v="CUST1061"/>
    <x v="90"/>
    <x v="0"/>
    <x v="0"/>
    <x v="3"/>
    <x v="1"/>
    <x v="2"/>
    <n v="8"/>
    <n v="62488"/>
    <n v="0.1"/>
    <n v="449913.59999999998"/>
    <n v="319962.19"/>
    <n v="129951.41"/>
    <x v="1"/>
    <n v="1"/>
    <b v="0"/>
  </r>
  <r>
    <s v="ORD1238"/>
    <x v="158"/>
    <s v="CUST1015"/>
    <x v="21"/>
    <x v="1"/>
    <x v="1"/>
    <x v="5"/>
    <x v="1"/>
    <x v="8"/>
    <n v="7"/>
    <n v="6900"/>
    <n v="0.25"/>
    <n v="36225"/>
    <n v="25119.02"/>
    <n v="11105.98"/>
    <x v="1"/>
    <n v="5"/>
    <b v="0"/>
  </r>
  <r>
    <s v="ORD1239"/>
    <x v="12"/>
    <s v="CUST1028"/>
    <x v="76"/>
    <x v="0"/>
    <x v="1"/>
    <x v="5"/>
    <x v="3"/>
    <x v="6"/>
    <n v="1"/>
    <n v="17715"/>
    <n v="0.15"/>
    <n v="15057.75"/>
    <n v="11642.96"/>
    <n v="3414.79"/>
    <x v="3"/>
    <n v="4"/>
    <b v="0"/>
  </r>
  <r>
    <s v="ORD1240"/>
    <x v="103"/>
    <s v="CUST1086"/>
    <x v="22"/>
    <x v="2"/>
    <x v="0"/>
    <x v="5"/>
    <x v="0"/>
    <x v="11"/>
    <n v="3"/>
    <n v="11231"/>
    <n v="0"/>
    <n v="33693"/>
    <n v="21521.62"/>
    <n v="12171.38"/>
    <x v="2"/>
    <n v="2"/>
    <b v="0"/>
  </r>
  <r>
    <s v="ORD1241"/>
    <x v="175"/>
    <s v="CUST1099"/>
    <x v="50"/>
    <x v="0"/>
    <x v="0"/>
    <x v="0"/>
    <x v="0"/>
    <x v="1"/>
    <n v="4"/>
    <n v="7204"/>
    <n v="0"/>
    <n v="28816"/>
    <n v="18999.669999999998"/>
    <n v="9816.33"/>
    <x v="0"/>
    <n v="4"/>
    <b v="0"/>
  </r>
  <r>
    <s v="ORD1242"/>
    <x v="7"/>
    <s v="CUST1043"/>
    <x v="91"/>
    <x v="1"/>
    <x v="0"/>
    <x v="1"/>
    <x v="1"/>
    <x v="2"/>
    <n v="5"/>
    <n v="1209"/>
    <n v="0.25"/>
    <n v="4533.75"/>
    <n v="2567.62"/>
    <n v="1966.13"/>
    <x v="3"/>
    <n v="5"/>
    <b v="0"/>
  </r>
  <r>
    <s v="ORD1243"/>
    <x v="176"/>
    <s v="CUST1088"/>
    <x v="64"/>
    <x v="3"/>
    <x v="0"/>
    <x v="3"/>
    <x v="1"/>
    <x v="13"/>
    <n v="6"/>
    <n v="30242"/>
    <n v="0.25"/>
    <n v="136089"/>
    <n v="116693.42"/>
    <n v="19395.580000000002"/>
    <x v="2"/>
    <n v="5"/>
    <b v="0"/>
  </r>
  <r>
    <s v="ORD1244"/>
    <x v="177"/>
    <s v="CUST1011"/>
    <x v="85"/>
    <x v="0"/>
    <x v="1"/>
    <x v="5"/>
    <x v="2"/>
    <x v="10"/>
    <n v="7"/>
    <n v="7044"/>
    <n v="0.2"/>
    <n v="39446.400000000001"/>
    <n v="30487.68"/>
    <n v="8958.7199999999993"/>
    <x v="0"/>
    <n v="4"/>
    <b v="0"/>
  </r>
  <r>
    <s v="ORD1245"/>
    <x v="178"/>
    <s v="CUST1033"/>
    <x v="39"/>
    <x v="0"/>
    <x v="0"/>
    <x v="4"/>
    <x v="0"/>
    <x v="9"/>
    <n v="8"/>
    <n v="10163"/>
    <n v="0.2"/>
    <n v="65043.199999999997"/>
    <n v="48821.99"/>
    <n v="16221.21"/>
    <x v="1"/>
    <n v="5"/>
    <b v="0"/>
  </r>
  <r>
    <s v="ORD1246"/>
    <x v="40"/>
    <s v="CUST1047"/>
    <x v="30"/>
    <x v="1"/>
    <x v="1"/>
    <x v="1"/>
    <x v="1"/>
    <x v="8"/>
    <n v="6"/>
    <n v="4594"/>
    <n v="0.2"/>
    <n v="22051.200000000001"/>
    <n v="18164.98"/>
    <n v="3886.22"/>
    <x v="2"/>
    <n v="1"/>
    <b v="0"/>
  </r>
  <r>
    <s v="ORD1247"/>
    <x v="108"/>
    <s v="CUST1097"/>
    <x v="27"/>
    <x v="0"/>
    <x v="0"/>
    <x v="2"/>
    <x v="0"/>
    <x v="11"/>
    <n v="5"/>
    <n v="2079"/>
    <n v="0.15"/>
    <n v="8835.75"/>
    <n v="6462.14"/>
    <n v="2373.61"/>
    <x v="0"/>
    <n v="2"/>
    <b v="0"/>
  </r>
  <r>
    <s v="ORD1248"/>
    <x v="97"/>
    <s v="CUST1051"/>
    <x v="87"/>
    <x v="0"/>
    <x v="0"/>
    <x v="4"/>
    <x v="1"/>
    <x v="2"/>
    <n v="2"/>
    <n v="27654"/>
    <n v="0.1"/>
    <n v="49777.2"/>
    <n v="37211.870000000003"/>
    <n v="12565.33"/>
    <x v="3"/>
    <n v="4"/>
    <b v="0"/>
  </r>
  <r>
    <s v="ORD1249"/>
    <x v="179"/>
    <s v="CUST1002"/>
    <x v="46"/>
    <x v="2"/>
    <x v="1"/>
    <x v="4"/>
    <x v="2"/>
    <x v="7"/>
    <n v="2"/>
    <n v="4428"/>
    <n v="0.1"/>
    <n v="7970.4"/>
    <n v="5788.18"/>
    <n v="2182.2199999999998"/>
    <x v="3"/>
    <n v="3"/>
    <b v="0"/>
  </r>
  <r>
    <s v="ORD1250"/>
    <x v="26"/>
    <s v="CUST1095"/>
    <x v="22"/>
    <x v="3"/>
    <x v="1"/>
    <x v="3"/>
    <x v="2"/>
    <x v="7"/>
    <n v="7"/>
    <n v="732"/>
    <n v="0.2"/>
    <n v="4099.2"/>
    <n v="3347.6"/>
    <n v="751.6"/>
    <x v="1"/>
    <n v="4"/>
    <b v="0"/>
  </r>
  <r>
    <s v="ORD1251"/>
    <x v="0"/>
    <s v="CUST1030"/>
    <x v="18"/>
    <x v="3"/>
    <x v="1"/>
    <x v="0"/>
    <x v="3"/>
    <x v="12"/>
    <n v="2"/>
    <n v="10395"/>
    <n v="0.2"/>
    <n v="16632"/>
    <n v="10659.05"/>
    <n v="5972.95"/>
    <x v="3"/>
    <n v="3"/>
    <b v="0"/>
  </r>
  <r>
    <s v="ORD1252"/>
    <x v="180"/>
    <s v="CUST1100"/>
    <x v="51"/>
    <x v="1"/>
    <x v="0"/>
    <x v="1"/>
    <x v="0"/>
    <x v="1"/>
    <n v="1"/>
    <n v="6635"/>
    <n v="0.1"/>
    <n v="5971.5"/>
    <n v="4431.6000000000004"/>
    <n v="1539.9"/>
    <x v="2"/>
    <n v="4"/>
    <b v="0"/>
  </r>
  <r>
    <s v="ORD1253"/>
    <x v="130"/>
    <s v="CUST1029"/>
    <x v="43"/>
    <x v="3"/>
    <x v="1"/>
    <x v="4"/>
    <x v="2"/>
    <x v="3"/>
    <n v="5"/>
    <n v="7165"/>
    <n v="0"/>
    <n v="35825"/>
    <n v="30895.22"/>
    <n v="4929.78"/>
    <x v="3"/>
    <n v="3"/>
    <b v="0"/>
  </r>
  <r>
    <s v="ORD1254"/>
    <x v="181"/>
    <s v="CUST1008"/>
    <x v="5"/>
    <x v="0"/>
    <x v="1"/>
    <x v="0"/>
    <x v="2"/>
    <x v="10"/>
    <n v="6"/>
    <n v="4930"/>
    <n v="0"/>
    <n v="29580"/>
    <n v="22878.65"/>
    <n v="6701.35"/>
    <x v="2"/>
    <n v="1"/>
    <b v="0"/>
  </r>
  <r>
    <s v="ORD1255"/>
    <x v="182"/>
    <s v="CUST1075"/>
    <x v="39"/>
    <x v="0"/>
    <x v="1"/>
    <x v="6"/>
    <x v="0"/>
    <x v="0"/>
    <n v="5"/>
    <n v="14589"/>
    <n v="0.25"/>
    <n v="54708.75"/>
    <n v="30586.959999999999"/>
    <n v="24121.79"/>
    <x v="1"/>
    <n v="3"/>
    <b v="0"/>
  </r>
  <r>
    <s v="ORD1256"/>
    <x v="183"/>
    <s v="CUST1030"/>
    <x v="11"/>
    <x v="1"/>
    <x v="1"/>
    <x v="5"/>
    <x v="2"/>
    <x v="15"/>
    <n v="3"/>
    <n v="577"/>
    <n v="0.1"/>
    <n v="1557.9"/>
    <n v="932.45"/>
    <n v="625.45000000000005"/>
    <x v="0"/>
    <n v="2"/>
    <b v="0"/>
  </r>
  <r>
    <s v="ORD1257"/>
    <x v="184"/>
    <s v="CUST1077"/>
    <x v="89"/>
    <x v="1"/>
    <x v="1"/>
    <x v="4"/>
    <x v="1"/>
    <x v="8"/>
    <n v="7"/>
    <n v="33754"/>
    <n v="0.05"/>
    <n v="224464.1"/>
    <n v="184692.08"/>
    <n v="39772.019999999997"/>
    <x v="0"/>
    <n v="5"/>
    <b v="0"/>
  </r>
  <r>
    <s v="ORD1258"/>
    <x v="83"/>
    <s v="CUST1086"/>
    <x v="65"/>
    <x v="1"/>
    <x v="0"/>
    <x v="6"/>
    <x v="0"/>
    <x v="11"/>
    <n v="4"/>
    <n v="14708"/>
    <n v="0"/>
    <n v="58832"/>
    <n v="43107.66"/>
    <n v="15724.34"/>
    <x v="3"/>
    <n v="2"/>
    <b v="0"/>
  </r>
  <r>
    <s v="ORD1259"/>
    <x v="3"/>
    <s v="CUST1044"/>
    <x v="73"/>
    <x v="2"/>
    <x v="1"/>
    <x v="6"/>
    <x v="0"/>
    <x v="0"/>
    <n v="3"/>
    <n v="2904"/>
    <n v="0.2"/>
    <n v="6969.6"/>
    <n v="4620.8999999999996"/>
    <n v="2348.6999999999998"/>
    <x v="0"/>
    <n v="4"/>
    <b v="0"/>
  </r>
  <r>
    <s v="ORD1260"/>
    <x v="185"/>
    <s v="CUST1099"/>
    <x v="17"/>
    <x v="0"/>
    <x v="1"/>
    <x v="3"/>
    <x v="0"/>
    <x v="0"/>
    <n v="3"/>
    <n v="2513"/>
    <n v="0.05"/>
    <n v="7162.05"/>
    <n v="5094.63"/>
    <n v="2067.42"/>
    <x v="2"/>
    <n v="2"/>
    <b v="0"/>
  </r>
  <r>
    <s v="ORD1261"/>
    <x v="140"/>
    <s v="CUST1019"/>
    <x v="83"/>
    <x v="0"/>
    <x v="0"/>
    <x v="1"/>
    <x v="1"/>
    <x v="8"/>
    <n v="5"/>
    <n v="11780"/>
    <n v="0.2"/>
    <n v="47120"/>
    <n v="33310.550000000003"/>
    <n v="13809.45"/>
    <x v="3"/>
    <n v="5"/>
    <b v="0"/>
  </r>
  <r>
    <s v="ORD1262"/>
    <x v="186"/>
    <s v="CUST1020"/>
    <x v="42"/>
    <x v="0"/>
    <x v="1"/>
    <x v="4"/>
    <x v="0"/>
    <x v="11"/>
    <n v="5"/>
    <n v="11264"/>
    <n v="0.15"/>
    <n v="47872"/>
    <n v="27241.78"/>
    <n v="20630.22"/>
    <x v="1"/>
    <n v="1"/>
    <b v="0"/>
  </r>
  <r>
    <s v="ORD1263"/>
    <x v="117"/>
    <s v="CUST1100"/>
    <x v="47"/>
    <x v="0"/>
    <x v="1"/>
    <x v="0"/>
    <x v="2"/>
    <x v="15"/>
    <n v="8"/>
    <n v="1112"/>
    <n v="0.15"/>
    <n v="7561.6"/>
    <n v="6313.71"/>
    <n v="1247.8900000000001"/>
    <x v="3"/>
    <n v="3"/>
    <b v="0"/>
  </r>
  <r>
    <s v="ORD1264"/>
    <x v="187"/>
    <s v="CUST1082"/>
    <x v="26"/>
    <x v="0"/>
    <x v="0"/>
    <x v="2"/>
    <x v="0"/>
    <x v="0"/>
    <n v="3"/>
    <n v="8786"/>
    <n v="0.1"/>
    <n v="23722.2"/>
    <n v="20049.28"/>
    <n v="3672.92"/>
    <x v="3"/>
    <n v="4"/>
    <b v="0"/>
  </r>
  <r>
    <s v="ORD1265"/>
    <x v="91"/>
    <s v="CUST1097"/>
    <x v="10"/>
    <x v="0"/>
    <x v="0"/>
    <x v="2"/>
    <x v="1"/>
    <x v="8"/>
    <n v="8"/>
    <n v="74712"/>
    <n v="0.15"/>
    <n v="508041.6"/>
    <n v="279953.98"/>
    <n v="228087.62"/>
    <x v="1"/>
    <n v="3"/>
    <b v="0"/>
  </r>
  <r>
    <s v="ORD1266"/>
    <x v="17"/>
    <s v="CUST1086"/>
    <x v="31"/>
    <x v="0"/>
    <x v="1"/>
    <x v="1"/>
    <x v="1"/>
    <x v="2"/>
    <n v="7"/>
    <n v="47293"/>
    <n v="0.05"/>
    <n v="314498.45"/>
    <n v="222463.1"/>
    <n v="92035.35"/>
    <x v="1"/>
    <n v="5"/>
    <b v="0"/>
  </r>
  <r>
    <s v="ORD1267"/>
    <x v="120"/>
    <s v="CUST1035"/>
    <x v="21"/>
    <x v="1"/>
    <x v="1"/>
    <x v="1"/>
    <x v="0"/>
    <x v="11"/>
    <n v="1"/>
    <n v="4398"/>
    <n v="0.25"/>
    <n v="3298.5"/>
    <n v="2856.36"/>
    <n v="442.14"/>
    <x v="0"/>
    <n v="3"/>
    <b v="0"/>
  </r>
  <r>
    <s v="ORD1268"/>
    <x v="7"/>
    <s v="CUST1005"/>
    <x v="18"/>
    <x v="3"/>
    <x v="0"/>
    <x v="2"/>
    <x v="0"/>
    <x v="0"/>
    <n v="5"/>
    <n v="11185"/>
    <n v="0.2"/>
    <n v="44740"/>
    <n v="24690.65"/>
    <n v="20049.349999999999"/>
    <x v="0"/>
    <n v="4"/>
    <b v="0"/>
  </r>
  <r>
    <s v="ORD1269"/>
    <x v="188"/>
    <s v="CUST1030"/>
    <x v="56"/>
    <x v="0"/>
    <x v="0"/>
    <x v="6"/>
    <x v="3"/>
    <x v="12"/>
    <n v="8"/>
    <n v="10278"/>
    <n v="0.05"/>
    <n v="78112.800000000003"/>
    <n v="44963.62"/>
    <n v="33149.18"/>
    <x v="2"/>
    <n v="3"/>
    <b v="0"/>
  </r>
  <r>
    <s v="ORD1270"/>
    <x v="189"/>
    <s v="CUST1016"/>
    <x v="25"/>
    <x v="2"/>
    <x v="0"/>
    <x v="2"/>
    <x v="0"/>
    <x v="0"/>
    <n v="5"/>
    <n v="10557"/>
    <n v="0.2"/>
    <n v="42228"/>
    <n v="36535.160000000003"/>
    <n v="5692.84"/>
    <x v="1"/>
    <n v="2"/>
    <b v="0"/>
  </r>
  <r>
    <s v="ORD1271"/>
    <x v="190"/>
    <s v="CUST1031"/>
    <x v="5"/>
    <x v="1"/>
    <x v="0"/>
    <x v="0"/>
    <x v="0"/>
    <x v="11"/>
    <n v="4"/>
    <n v="2434"/>
    <n v="0.05"/>
    <n v="9249.2000000000007"/>
    <n v="6316.72"/>
    <n v="2932.48"/>
    <x v="3"/>
    <n v="3"/>
    <b v="0"/>
  </r>
  <r>
    <s v="ORD1272"/>
    <x v="191"/>
    <s v="CUST1021"/>
    <x v="21"/>
    <x v="2"/>
    <x v="0"/>
    <x v="3"/>
    <x v="1"/>
    <x v="8"/>
    <n v="5"/>
    <n v="63294"/>
    <n v="0"/>
    <n v="316470"/>
    <n v="240946.68"/>
    <n v="75523.320000000007"/>
    <x v="0"/>
    <n v="1"/>
    <b v="0"/>
  </r>
  <r>
    <s v="ORD1273"/>
    <x v="14"/>
    <s v="CUST1020"/>
    <x v="60"/>
    <x v="0"/>
    <x v="1"/>
    <x v="1"/>
    <x v="2"/>
    <x v="3"/>
    <n v="6"/>
    <n v="3850"/>
    <n v="0.15"/>
    <n v="19635"/>
    <n v="14847.57"/>
    <n v="4787.43"/>
    <x v="2"/>
    <n v="4"/>
    <b v="0"/>
  </r>
  <r>
    <s v="ORD1274"/>
    <x v="4"/>
    <s v="CUST1082"/>
    <x v="33"/>
    <x v="3"/>
    <x v="0"/>
    <x v="7"/>
    <x v="0"/>
    <x v="1"/>
    <n v="6"/>
    <n v="8580"/>
    <n v="0.15"/>
    <n v="43758"/>
    <n v="26130.05"/>
    <n v="17627.95"/>
    <x v="1"/>
    <n v="2"/>
    <b v="0"/>
  </r>
  <r>
    <s v="ORD1275"/>
    <x v="175"/>
    <s v="CUST1093"/>
    <x v="78"/>
    <x v="1"/>
    <x v="1"/>
    <x v="7"/>
    <x v="3"/>
    <x v="12"/>
    <n v="3"/>
    <n v="7153"/>
    <n v="0"/>
    <n v="21459"/>
    <n v="14051.43"/>
    <n v="7407.57"/>
    <x v="1"/>
    <n v="1"/>
    <b v="0"/>
  </r>
  <r>
    <s v="ORD1276"/>
    <x v="192"/>
    <s v="CUST1029"/>
    <x v="84"/>
    <x v="0"/>
    <x v="0"/>
    <x v="3"/>
    <x v="0"/>
    <x v="11"/>
    <n v="8"/>
    <n v="356"/>
    <n v="0.2"/>
    <n v="2278.4"/>
    <n v="1960.22"/>
    <n v="318.18"/>
    <x v="3"/>
    <n v="3"/>
    <b v="0"/>
  </r>
  <r>
    <s v="ORD1277"/>
    <x v="193"/>
    <s v="CUST1083"/>
    <x v="79"/>
    <x v="3"/>
    <x v="1"/>
    <x v="0"/>
    <x v="2"/>
    <x v="15"/>
    <n v="4"/>
    <n v="4746"/>
    <n v="0.05"/>
    <n v="18034.8"/>
    <n v="15227.1"/>
    <n v="2807.7"/>
    <x v="2"/>
    <n v="3"/>
    <b v="0"/>
  </r>
  <r>
    <s v="ORD1278"/>
    <x v="194"/>
    <s v="CUST1055"/>
    <x v="92"/>
    <x v="3"/>
    <x v="0"/>
    <x v="5"/>
    <x v="1"/>
    <x v="4"/>
    <n v="7"/>
    <n v="37441"/>
    <n v="0"/>
    <n v="262087"/>
    <n v="224597.14"/>
    <n v="37489.86"/>
    <x v="0"/>
    <n v="3"/>
    <b v="0"/>
  </r>
  <r>
    <s v="ORD1279"/>
    <x v="172"/>
    <s v="CUST1094"/>
    <x v="87"/>
    <x v="3"/>
    <x v="1"/>
    <x v="6"/>
    <x v="1"/>
    <x v="2"/>
    <n v="8"/>
    <n v="57269"/>
    <n v="0"/>
    <n v="458152"/>
    <n v="354204.51"/>
    <n v="103947.49"/>
    <x v="3"/>
    <n v="4"/>
    <b v="0"/>
  </r>
  <r>
    <s v="ORD1280"/>
    <x v="195"/>
    <s v="CUST1047"/>
    <x v="40"/>
    <x v="3"/>
    <x v="1"/>
    <x v="6"/>
    <x v="3"/>
    <x v="14"/>
    <n v="5"/>
    <n v="12715"/>
    <n v="0.15"/>
    <n v="54038.75"/>
    <n v="45161.3"/>
    <n v="8877.4500000000007"/>
    <x v="2"/>
    <n v="1"/>
    <b v="0"/>
  </r>
  <r>
    <s v="ORD1281"/>
    <x v="196"/>
    <s v="CUST1009"/>
    <x v="87"/>
    <x v="1"/>
    <x v="0"/>
    <x v="7"/>
    <x v="2"/>
    <x v="7"/>
    <n v="5"/>
    <n v="3565"/>
    <n v="0.2"/>
    <n v="14260"/>
    <n v="9799.66"/>
    <n v="4460.34"/>
    <x v="2"/>
    <n v="1"/>
    <b v="0"/>
  </r>
  <r>
    <s v="ORD1282"/>
    <x v="197"/>
    <s v="CUST1036"/>
    <x v="40"/>
    <x v="1"/>
    <x v="1"/>
    <x v="7"/>
    <x v="1"/>
    <x v="8"/>
    <n v="5"/>
    <n v="3467"/>
    <n v="0"/>
    <n v="17335"/>
    <n v="10315.68"/>
    <n v="7019.32"/>
    <x v="2"/>
    <n v="4"/>
    <b v="0"/>
  </r>
  <r>
    <s v="ORD1283"/>
    <x v="198"/>
    <s v="CUST1099"/>
    <x v="32"/>
    <x v="3"/>
    <x v="0"/>
    <x v="7"/>
    <x v="0"/>
    <x v="9"/>
    <n v="6"/>
    <n v="3228"/>
    <n v="0.15"/>
    <n v="16462.8"/>
    <n v="9518.18"/>
    <n v="6944.62"/>
    <x v="1"/>
    <n v="2"/>
    <b v="0"/>
  </r>
  <r>
    <s v="ORD1284"/>
    <x v="6"/>
    <s v="CUST1002"/>
    <x v="37"/>
    <x v="3"/>
    <x v="1"/>
    <x v="7"/>
    <x v="0"/>
    <x v="1"/>
    <n v="5"/>
    <n v="10414"/>
    <n v="0.2"/>
    <n v="41656"/>
    <n v="28122.01"/>
    <n v="13533.99"/>
    <x v="1"/>
    <n v="3"/>
    <b v="0"/>
  </r>
  <r>
    <s v="ORD1285"/>
    <x v="199"/>
    <s v="CUST1043"/>
    <x v="22"/>
    <x v="3"/>
    <x v="1"/>
    <x v="4"/>
    <x v="2"/>
    <x v="10"/>
    <n v="6"/>
    <n v="4435"/>
    <n v="0.25"/>
    <n v="19957.5"/>
    <n v="12732.94"/>
    <n v="7224.56"/>
    <x v="1"/>
    <n v="1"/>
    <b v="0"/>
  </r>
  <r>
    <s v="ORD1286"/>
    <x v="150"/>
    <s v="CUST1053"/>
    <x v="11"/>
    <x v="1"/>
    <x v="0"/>
    <x v="7"/>
    <x v="2"/>
    <x v="3"/>
    <n v="8"/>
    <n v="6274"/>
    <n v="0.15"/>
    <n v="42663.199999999997"/>
    <n v="37205.919999999998"/>
    <n v="5457.28"/>
    <x v="0"/>
    <n v="2"/>
    <b v="0"/>
  </r>
  <r>
    <s v="ORD1287"/>
    <x v="161"/>
    <s v="CUST1057"/>
    <x v="33"/>
    <x v="3"/>
    <x v="1"/>
    <x v="6"/>
    <x v="3"/>
    <x v="12"/>
    <n v="8"/>
    <n v="8636"/>
    <n v="0"/>
    <n v="69088"/>
    <n v="55625.29"/>
    <n v="13462.71"/>
    <x v="0"/>
    <n v="4"/>
    <b v="0"/>
  </r>
  <r>
    <s v="ORD1288"/>
    <x v="194"/>
    <s v="CUST1072"/>
    <x v="39"/>
    <x v="3"/>
    <x v="0"/>
    <x v="4"/>
    <x v="2"/>
    <x v="3"/>
    <n v="7"/>
    <n v="5534"/>
    <n v="0.1"/>
    <n v="34864.199999999997"/>
    <n v="28721.89"/>
    <n v="6142.31"/>
    <x v="2"/>
    <n v="3"/>
    <b v="0"/>
  </r>
  <r>
    <s v="ORD1289"/>
    <x v="5"/>
    <s v="CUST1004"/>
    <x v="28"/>
    <x v="3"/>
    <x v="0"/>
    <x v="2"/>
    <x v="1"/>
    <x v="2"/>
    <n v="2"/>
    <n v="45564"/>
    <n v="0.2"/>
    <n v="72902.399999999994"/>
    <n v="58078.18"/>
    <n v="14824.22"/>
    <x v="0"/>
    <n v="4"/>
    <b v="0"/>
  </r>
  <r>
    <s v="ORD1290"/>
    <x v="37"/>
    <s v="CUST1071"/>
    <x v="55"/>
    <x v="2"/>
    <x v="0"/>
    <x v="1"/>
    <x v="2"/>
    <x v="10"/>
    <n v="8"/>
    <n v="975"/>
    <n v="0"/>
    <n v="7800"/>
    <n v="4817.62"/>
    <n v="2982.38"/>
    <x v="3"/>
    <n v="5"/>
    <b v="0"/>
  </r>
  <r>
    <s v="ORD1291"/>
    <x v="200"/>
    <s v="CUST1049"/>
    <x v="75"/>
    <x v="0"/>
    <x v="1"/>
    <x v="0"/>
    <x v="2"/>
    <x v="7"/>
    <n v="5"/>
    <n v="4407"/>
    <n v="0.15"/>
    <n v="18729.75"/>
    <n v="12700.54"/>
    <n v="6029.21"/>
    <x v="1"/>
    <n v="4"/>
    <b v="0"/>
  </r>
  <r>
    <s v="ORD1292"/>
    <x v="201"/>
    <s v="CUST1084"/>
    <x v="29"/>
    <x v="3"/>
    <x v="0"/>
    <x v="0"/>
    <x v="2"/>
    <x v="10"/>
    <n v="1"/>
    <n v="5644"/>
    <n v="0.05"/>
    <n v="5361.8"/>
    <n v="3209.63"/>
    <n v="2152.17"/>
    <x v="1"/>
    <n v="1"/>
    <b v="0"/>
  </r>
  <r>
    <s v="ORD1293"/>
    <x v="112"/>
    <s v="CUST1069"/>
    <x v="93"/>
    <x v="2"/>
    <x v="1"/>
    <x v="7"/>
    <x v="3"/>
    <x v="12"/>
    <n v="2"/>
    <n v="6426"/>
    <n v="0.2"/>
    <n v="10281.6"/>
    <n v="8875.01"/>
    <n v="1406.59"/>
    <x v="1"/>
    <n v="2"/>
    <b v="0"/>
  </r>
  <r>
    <s v="ORD1294"/>
    <x v="202"/>
    <s v="CUST1008"/>
    <x v="77"/>
    <x v="2"/>
    <x v="0"/>
    <x v="4"/>
    <x v="3"/>
    <x v="5"/>
    <n v="5"/>
    <n v="11736"/>
    <n v="0.1"/>
    <n v="52812"/>
    <n v="31935.279999999999"/>
    <n v="20876.72"/>
    <x v="0"/>
    <n v="1"/>
    <b v="0"/>
  </r>
  <r>
    <s v="ORD1295"/>
    <x v="203"/>
    <s v="CUST1016"/>
    <x v="81"/>
    <x v="1"/>
    <x v="1"/>
    <x v="0"/>
    <x v="2"/>
    <x v="7"/>
    <n v="2"/>
    <n v="6889"/>
    <n v="0.15"/>
    <n v="11711.3"/>
    <n v="8988.51"/>
    <n v="2722.79"/>
    <x v="2"/>
    <n v="3"/>
    <b v="0"/>
  </r>
  <r>
    <s v="ORD1296"/>
    <x v="204"/>
    <s v="CUST1082"/>
    <x v="78"/>
    <x v="2"/>
    <x v="1"/>
    <x v="4"/>
    <x v="3"/>
    <x v="14"/>
    <n v="4"/>
    <n v="6859"/>
    <n v="0"/>
    <n v="27436"/>
    <n v="23413.82"/>
    <n v="4022.18"/>
    <x v="3"/>
    <n v="5"/>
    <b v="0"/>
  </r>
  <r>
    <s v="ORD1297"/>
    <x v="32"/>
    <s v="CUST1008"/>
    <x v="32"/>
    <x v="0"/>
    <x v="1"/>
    <x v="7"/>
    <x v="1"/>
    <x v="4"/>
    <n v="1"/>
    <n v="72042"/>
    <n v="0.2"/>
    <n v="57633.599999999999"/>
    <n v="49821.71"/>
    <n v="7811.89"/>
    <x v="2"/>
    <n v="4"/>
    <b v="0"/>
  </r>
  <r>
    <s v="ORD1298"/>
    <x v="144"/>
    <s v="CUST1086"/>
    <x v="48"/>
    <x v="0"/>
    <x v="1"/>
    <x v="3"/>
    <x v="3"/>
    <x v="14"/>
    <n v="3"/>
    <n v="16832"/>
    <n v="0.1"/>
    <n v="45446.400000000001"/>
    <n v="39395.46"/>
    <n v="6050.94"/>
    <x v="0"/>
    <n v="2"/>
    <b v="0"/>
  </r>
  <r>
    <s v="ORD1299"/>
    <x v="205"/>
    <s v="CUST1066"/>
    <x v="88"/>
    <x v="1"/>
    <x v="1"/>
    <x v="6"/>
    <x v="1"/>
    <x v="13"/>
    <n v="8"/>
    <n v="41758"/>
    <n v="0.1"/>
    <n v="300657.59999999998"/>
    <n v="169931.29"/>
    <n v="130726.31"/>
    <x v="1"/>
    <n v="5"/>
    <b v="0"/>
  </r>
  <r>
    <s v="ORD1300"/>
    <x v="176"/>
    <s v="CUST1054"/>
    <x v="69"/>
    <x v="0"/>
    <x v="0"/>
    <x v="3"/>
    <x v="1"/>
    <x v="2"/>
    <n v="3"/>
    <n v="67182"/>
    <n v="0.2"/>
    <n v="161236.79999999999"/>
    <n v="94985.54"/>
    <n v="66251.259999999995"/>
    <x v="2"/>
    <n v="1"/>
    <b v="0"/>
  </r>
  <r>
    <s v="ORD1301"/>
    <x v="206"/>
    <s v="CUST1091"/>
    <x v="28"/>
    <x v="3"/>
    <x v="0"/>
    <x v="1"/>
    <x v="2"/>
    <x v="7"/>
    <n v="3"/>
    <n v="3383"/>
    <n v="0.2"/>
    <n v="8119.2"/>
    <n v="4552.95"/>
    <n v="3566.25"/>
    <x v="0"/>
    <n v="4"/>
    <b v="0"/>
  </r>
  <r>
    <s v="ORD1302"/>
    <x v="45"/>
    <s v="CUST1026"/>
    <x v="91"/>
    <x v="3"/>
    <x v="0"/>
    <x v="1"/>
    <x v="0"/>
    <x v="0"/>
    <n v="3"/>
    <n v="6409"/>
    <n v="0"/>
    <n v="19227"/>
    <n v="12100.16"/>
    <n v="7126.84"/>
    <x v="3"/>
    <n v="3"/>
    <b v="0"/>
  </r>
  <r>
    <s v="ORD1303"/>
    <x v="207"/>
    <s v="CUST1041"/>
    <x v="48"/>
    <x v="3"/>
    <x v="0"/>
    <x v="0"/>
    <x v="1"/>
    <x v="2"/>
    <n v="2"/>
    <n v="71759"/>
    <n v="0.25"/>
    <n v="107638.5"/>
    <n v="89989.47"/>
    <n v="17649.03"/>
    <x v="3"/>
    <n v="3"/>
    <b v="0"/>
  </r>
  <r>
    <s v="ORD1304"/>
    <x v="120"/>
    <s v="CUST1071"/>
    <x v="78"/>
    <x v="3"/>
    <x v="0"/>
    <x v="5"/>
    <x v="2"/>
    <x v="3"/>
    <n v="2"/>
    <n v="6781"/>
    <n v="0.2"/>
    <n v="10849.6"/>
    <n v="7231.33"/>
    <n v="3618.27"/>
    <x v="1"/>
    <n v="4"/>
    <b v="0"/>
  </r>
  <r>
    <s v="ORD1305"/>
    <x v="174"/>
    <s v="CUST1019"/>
    <x v="36"/>
    <x v="0"/>
    <x v="1"/>
    <x v="3"/>
    <x v="3"/>
    <x v="6"/>
    <n v="7"/>
    <n v="13840"/>
    <n v="0.2"/>
    <n v="77504"/>
    <n v="57746.14"/>
    <n v="19757.86"/>
    <x v="3"/>
    <n v="4"/>
    <b v="0"/>
  </r>
  <r>
    <s v="ORD1306"/>
    <x v="208"/>
    <s v="CUST1036"/>
    <x v="66"/>
    <x v="2"/>
    <x v="1"/>
    <x v="0"/>
    <x v="2"/>
    <x v="10"/>
    <n v="5"/>
    <n v="3896"/>
    <n v="0.1"/>
    <n v="17532"/>
    <n v="14478.32"/>
    <n v="3053.68"/>
    <x v="1"/>
    <n v="4"/>
    <b v="0"/>
  </r>
  <r>
    <s v="ORD1307"/>
    <x v="126"/>
    <s v="CUST1095"/>
    <x v="65"/>
    <x v="0"/>
    <x v="0"/>
    <x v="3"/>
    <x v="3"/>
    <x v="14"/>
    <n v="1"/>
    <n v="13708"/>
    <n v="0.15"/>
    <n v="11651.8"/>
    <n v="8043.53"/>
    <n v="3608.27"/>
    <x v="0"/>
    <n v="1"/>
    <b v="0"/>
  </r>
  <r>
    <s v="ORD1308"/>
    <x v="209"/>
    <s v="CUST1003"/>
    <x v="13"/>
    <x v="1"/>
    <x v="0"/>
    <x v="4"/>
    <x v="3"/>
    <x v="5"/>
    <n v="5"/>
    <n v="18217"/>
    <n v="0.25"/>
    <n v="68313.75"/>
    <n v="37800.04"/>
    <n v="30513.71"/>
    <x v="2"/>
    <n v="4"/>
    <b v="0"/>
  </r>
  <r>
    <s v="ORD1309"/>
    <x v="210"/>
    <s v="CUST1050"/>
    <x v="70"/>
    <x v="2"/>
    <x v="0"/>
    <x v="3"/>
    <x v="2"/>
    <x v="10"/>
    <n v="4"/>
    <n v="6038"/>
    <n v="0.2"/>
    <n v="19321.599999999999"/>
    <n v="15466.8"/>
    <n v="3854.8"/>
    <x v="2"/>
    <n v="3"/>
    <b v="0"/>
  </r>
  <r>
    <s v="ORD1310"/>
    <x v="196"/>
    <s v="CUST1022"/>
    <x v="62"/>
    <x v="0"/>
    <x v="0"/>
    <x v="0"/>
    <x v="3"/>
    <x v="14"/>
    <n v="6"/>
    <n v="8756"/>
    <n v="0.25"/>
    <n v="39402"/>
    <n v="26946.94"/>
    <n v="12455.06"/>
    <x v="0"/>
    <n v="3"/>
    <b v="0"/>
  </r>
  <r>
    <s v="ORD1311"/>
    <x v="211"/>
    <s v="CUST1081"/>
    <x v="73"/>
    <x v="0"/>
    <x v="1"/>
    <x v="7"/>
    <x v="2"/>
    <x v="15"/>
    <n v="2"/>
    <n v="557"/>
    <n v="0.05"/>
    <n v="1058.3"/>
    <n v="854.69"/>
    <n v="203.61"/>
    <x v="0"/>
    <n v="1"/>
    <b v="0"/>
  </r>
  <r>
    <s v="ORD1312"/>
    <x v="175"/>
    <s v="CUST1065"/>
    <x v="7"/>
    <x v="1"/>
    <x v="0"/>
    <x v="4"/>
    <x v="0"/>
    <x v="9"/>
    <n v="7"/>
    <n v="10802"/>
    <n v="0.2"/>
    <n v="60491.199999999997"/>
    <n v="44450.76"/>
    <n v="16040.44"/>
    <x v="0"/>
    <n v="1"/>
    <b v="0"/>
  </r>
  <r>
    <s v="ORD1313"/>
    <x v="212"/>
    <s v="CUST1057"/>
    <x v="46"/>
    <x v="0"/>
    <x v="0"/>
    <x v="3"/>
    <x v="0"/>
    <x v="11"/>
    <n v="8"/>
    <n v="2949"/>
    <n v="0.1"/>
    <n v="21232.799999999999"/>
    <n v="17308.150000000001"/>
    <n v="3924.65"/>
    <x v="0"/>
    <n v="1"/>
    <b v="0"/>
  </r>
  <r>
    <s v="ORD1314"/>
    <x v="80"/>
    <s v="CUST1076"/>
    <x v="75"/>
    <x v="3"/>
    <x v="0"/>
    <x v="0"/>
    <x v="3"/>
    <x v="5"/>
    <n v="4"/>
    <n v="24474"/>
    <n v="0.1"/>
    <n v="88106.4"/>
    <n v="51914.81"/>
    <n v="36191.589999999997"/>
    <x v="0"/>
    <n v="1"/>
    <b v="0"/>
  </r>
  <r>
    <s v="ORD1315"/>
    <x v="213"/>
    <s v="CUST1043"/>
    <x v="4"/>
    <x v="0"/>
    <x v="1"/>
    <x v="1"/>
    <x v="3"/>
    <x v="12"/>
    <n v="4"/>
    <n v="19762"/>
    <n v="0.15"/>
    <n v="67190.8"/>
    <n v="45477.23"/>
    <n v="21713.57"/>
    <x v="0"/>
    <n v="2"/>
    <b v="0"/>
  </r>
  <r>
    <s v="ORD1316"/>
    <x v="36"/>
    <s v="CUST1083"/>
    <x v="94"/>
    <x v="3"/>
    <x v="0"/>
    <x v="0"/>
    <x v="2"/>
    <x v="3"/>
    <n v="8"/>
    <n v="5757"/>
    <n v="0.1"/>
    <n v="41450.400000000001"/>
    <n v="32457.48"/>
    <n v="8992.92"/>
    <x v="1"/>
    <n v="5"/>
    <b v="0"/>
  </r>
  <r>
    <s v="ORD1317"/>
    <x v="214"/>
    <s v="CUST1020"/>
    <x v="56"/>
    <x v="1"/>
    <x v="1"/>
    <x v="2"/>
    <x v="0"/>
    <x v="11"/>
    <n v="3"/>
    <n v="14301"/>
    <n v="0.1"/>
    <n v="38612.699999999997"/>
    <n v="32441.72"/>
    <n v="6170.98"/>
    <x v="1"/>
    <n v="3"/>
    <b v="0"/>
  </r>
  <r>
    <s v="ORD1318"/>
    <x v="215"/>
    <s v="CUST1051"/>
    <x v="17"/>
    <x v="3"/>
    <x v="1"/>
    <x v="0"/>
    <x v="1"/>
    <x v="13"/>
    <n v="7"/>
    <n v="24014"/>
    <n v="0.1"/>
    <n v="151288.20000000001"/>
    <n v="125678.81"/>
    <n v="25609.39"/>
    <x v="2"/>
    <n v="1"/>
    <b v="0"/>
  </r>
  <r>
    <s v="ORD1319"/>
    <x v="216"/>
    <s v="CUST1005"/>
    <x v="55"/>
    <x v="3"/>
    <x v="1"/>
    <x v="5"/>
    <x v="0"/>
    <x v="11"/>
    <n v="5"/>
    <n v="4810"/>
    <n v="0.1"/>
    <n v="21645"/>
    <n v="14845.14"/>
    <n v="6799.86"/>
    <x v="1"/>
    <n v="3"/>
    <b v="0"/>
  </r>
  <r>
    <s v="ORD1320"/>
    <x v="158"/>
    <s v="CUST1039"/>
    <x v="81"/>
    <x v="3"/>
    <x v="0"/>
    <x v="4"/>
    <x v="3"/>
    <x v="5"/>
    <n v="8"/>
    <n v="8670"/>
    <n v="0.25"/>
    <n v="52020"/>
    <n v="34318.14"/>
    <n v="17701.86"/>
    <x v="1"/>
    <n v="3"/>
    <b v="0"/>
  </r>
  <r>
    <s v="ORD1321"/>
    <x v="217"/>
    <s v="CUST1057"/>
    <x v="95"/>
    <x v="1"/>
    <x v="1"/>
    <x v="5"/>
    <x v="3"/>
    <x v="14"/>
    <n v="8"/>
    <n v="24764"/>
    <n v="0.05"/>
    <n v="188206.4"/>
    <n v="161974.17000000001"/>
    <n v="26232.23"/>
    <x v="1"/>
    <n v="1"/>
    <b v="0"/>
  </r>
  <r>
    <s v="ORD1322"/>
    <x v="187"/>
    <s v="CUST1049"/>
    <x v="27"/>
    <x v="2"/>
    <x v="0"/>
    <x v="6"/>
    <x v="3"/>
    <x v="5"/>
    <n v="5"/>
    <n v="24484"/>
    <n v="0"/>
    <n v="122420"/>
    <n v="97140.52"/>
    <n v="25279.48"/>
    <x v="1"/>
    <n v="2"/>
    <b v="0"/>
  </r>
  <r>
    <s v="ORD1323"/>
    <x v="218"/>
    <s v="CUST1043"/>
    <x v="88"/>
    <x v="3"/>
    <x v="0"/>
    <x v="5"/>
    <x v="2"/>
    <x v="3"/>
    <n v="2"/>
    <n v="2585"/>
    <n v="0.05"/>
    <n v="4911.5"/>
    <n v="3819.32"/>
    <n v="1092.18"/>
    <x v="3"/>
    <n v="4"/>
    <b v="0"/>
  </r>
  <r>
    <s v="ORD1324"/>
    <x v="219"/>
    <s v="CUST1030"/>
    <x v="65"/>
    <x v="0"/>
    <x v="1"/>
    <x v="6"/>
    <x v="1"/>
    <x v="4"/>
    <n v="4"/>
    <n v="45249"/>
    <n v="0.15"/>
    <n v="153846.6"/>
    <n v="89291.25"/>
    <n v="64555.35"/>
    <x v="1"/>
    <n v="3"/>
    <b v="0"/>
  </r>
  <r>
    <s v="ORD1325"/>
    <x v="87"/>
    <s v="CUST1002"/>
    <x v="71"/>
    <x v="2"/>
    <x v="0"/>
    <x v="6"/>
    <x v="1"/>
    <x v="2"/>
    <n v="8"/>
    <n v="46063"/>
    <n v="0"/>
    <n v="368504"/>
    <n v="266612.47999999998"/>
    <n v="101891.52"/>
    <x v="1"/>
    <n v="1"/>
    <b v="0"/>
  </r>
  <r>
    <s v="ORD1326"/>
    <x v="220"/>
    <s v="CUST1100"/>
    <x v="66"/>
    <x v="2"/>
    <x v="0"/>
    <x v="5"/>
    <x v="1"/>
    <x v="8"/>
    <n v="3"/>
    <n v="55451"/>
    <n v="0.2"/>
    <n v="133082.4"/>
    <n v="82094.38"/>
    <n v="50988.02"/>
    <x v="2"/>
    <n v="1"/>
    <b v="0"/>
  </r>
  <r>
    <s v="ORD1327"/>
    <x v="221"/>
    <s v="CUST1036"/>
    <x v="87"/>
    <x v="3"/>
    <x v="1"/>
    <x v="1"/>
    <x v="1"/>
    <x v="13"/>
    <n v="7"/>
    <n v="19580"/>
    <n v="0.15"/>
    <n v="116501"/>
    <n v="100200.76"/>
    <n v="16300.24"/>
    <x v="2"/>
    <n v="1"/>
    <b v="0"/>
  </r>
  <r>
    <s v="ORD1328"/>
    <x v="26"/>
    <s v="CUST1025"/>
    <x v="84"/>
    <x v="2"/>
    <x v="0"/>
    <x v="4"/>
    <x v="3"/>
    <x v="12"/>
    <n v="6"/>
    <n v="8513"/>
    <n v="0.15"/>
    <n v="43416.3"/>
    <n v="34601.35"/>
    <n v="8814.9500000000007"/>
    <x v="0"/>
    <n v="3"/>
    <b v="0"/>
  </r>
  <r>
    <s v="ORD1329"/>
    <x v="174"/>
    <s v="CUST1042"/>
    <x v="45"/>
    <x v="3"/>
    <x v="0"/>
    <x v="0"/>
    <x v="2"/>
    <x v="15"/>
    <n v="3"/>
    <n v="4880"/>
    <n v="0"/>
    <n v="14640"/>
    <n v="10694.07"/>
    <n v="3945.93"/>
    <x v="3"/>
    <n v="1"/>
    <b v="0"/>
  </r>
  <r>
    <s v="ORD1330"/>
    <x v="126"/>
    <s v="CUST1043"/>
    <x v="96"/>
    <x v="3"/>
    <x v="1"/>
    <x v="6"/>
    <x v="2"/>
    <x v="10"/>
    <n v="8"/>
    <n v="7328"/>
    <n v="0"/>
    <n v="58624"/>
    <n v="36391.089999999997"/>
    <n v="22232.91"/>
    <x v="0"/>
    <n v="2"/>
    <b v="0"/>
  </r>
  <r>
    <s v="ORD1331"/>
    <x v="221"/>
    <s v="CUST1082"/>
    <x v="20"/>
    <x v="0"/>
    <x v="0"/>
    <x v="4"/>
    <x v="3"/>
    <x v="5"/>
    <n v="1"/>
    <n v="16985"/>
    <n v="0.05"/>
    <n v="16135.75"/>
    <n v="10856.55"/>
    <n v="5279.2"/>
    <x v="3"/>
    <n v="5"/>
    <b v="0"/>
  </r>
  <r>
    <s v="ORD1332"/>
    <x v="79"/>
    <s v="CUST1081"/>
    <x v="87"/>
    <x v="1"/>
    <x v="1"/>
    <x v="6"/>
    <x v="3"/>
    <x v="12"/>
    <n v="2"/>
    <n v="13083"/>
    <n v="0.1"/>
    <n v="23549.4"/>
    <n v="17004.509999999998"/>
    <n v="6544.89"/>
    <x v="0"/>
    <n v="1"/>
    <b v="0"/>
  </r>
  <r>
    <s v="ORD1333"/>
    <x v="222"/>
    <s v="CUST1002"/>
    <x v="74"/>
    <x v="1"/>
    <x v="0"/>
    <x v="6"/>
    <x v="0"/>
    <x v="0"/>
    <n v="6"/>
    <n v="12939"/>
    <n v="0.05"/>
    <n v="73752.3"/>
    <n v="59727.39"/>
    <n v="14024.91"/>
    <x v="2"/>
    <n v="2"/>
    <b v="0"/>
  </r>
  <r>
    <s v="ORD1334"/>
    <x v="223"/>
    <s v="CUST1022"/>
    <x v="73"/>
    <x v="1"/>
    <x v="0"/>
    <x v="5"/>
    <x v="0"/>
    <x v="11"/>
    <n v="4"/>
    <n v="2422"/>
    <n v="0.15"/>
    <n v="8234.7999999999993"/>
    <n v="5668.82"/>
    <n v="2565.98"/>
    <x v="2"/>
    <n v="5"/>
    <b v="0"/>
  </r>
  <r>
    <s v="ORD1335"/>
    <x v="144"/>
    <s v="CUST1001"/>
    <x v="20"/>
    <x v="0"/>
    <x v="1"/>
    <x v="5"/>
    <x v="3"/>
    <x v="6"/>
    <n v="4"/>
    <n v="5646"/>
    <n v="0"/>
    <n v="22584"/>
    <n v="18118.36"/>
    <n v="4465.6400000000003"/>
    <x v="0"/>
    <n v="1"/>
    <b v="0"/>
  </r>
  <r>
    <s v="ORD1336"/>
    <x v="215"/>
    <s v="CUST1035"/>
    <x v="81"/>
    <x v="2"/>
    <x v="0"/>
    <x v="4"/>
    <x v="0"/>
    <x v="0"/>
    <n v="2"/>
    <n v="13261"/>
    <n v="0.2"/>
    <n v="21217.599999999999"/>
    <n v="17456.59"/>
    <n v="3761.01"/>
    <x v="2"/>
    <n v="4"/>
    <b v="0"/>
  </r>
  <r>
    <s v="ORD1337"/>
    <x v="14"/>
    <s v="CUST1088"/>
    <x v="22"/>
    <x v="0"/>
    <x v="0"/>
    <x v="7"/>
    <x v="0"/>
    <x v="11"/>
    <n v="7"/>
    <n v="4047"/>
    <n v="0.2"/>
    <n v="22663.200000000001"/>
    <n v="15110.7"/>
    <n v="7552.5"/>
    <x v="2"/>
    <n v="5"/>
    <b v="0"/>
  </r>
  <r>
    <s v="ORD1338"/>
    <x v="24"/>
    <s v="CUST1009"/>
    <x v="93"/>
    <x v="1"/>
    <x v="0"/>
    <x v="6"/>
    <x v="3"/>
    <x v="5"/>
    <n v="1"/>
    <n v="12888"/>
    <n v="0"/>
    <n v="12888"/>
    <n v="8443.4599999999991"/>
    <n v="4444.54"/>
    <x v="3"/>
    <n v="1"/>
    <b v="0"/>
  </r>
  <r>
    <s v="ORD1339"/>
    <x v="224"/>
    <s v="CUST1073"/>
    <x v="71"/>
    <x v="2"/>
    <x v="0"/>
    <x v="2"/>
    <x v="1"/>
    <x v="4"/>
    <n v="7"/>
    <n v="62973"/>
    <n v="0.1"/>
    <n v="396729.9"/>
    <n v="272470.25"/>
    <n v="124259.65"/>
    <x v="0"/>
    <n v="4"/>
    <b v="0"/>
  </r>
  <r>
    <s v="ORD1340"/>
    <x v="74"/>
    <s v="CUST1018"/>
    <x v="44"/>
    <x v="0"/>
    <x v="1"/>
    <x v="3"/>
    <x v="0"/>
    <x v="1"/>
    <n v="5"/>
    <n v="2730"/>
    <n v="0.2"/>
    <n v="10920"/>
    <n v="8596.0499999999993"/>
    <n v="2323.9499999999998"/>
    <x v="1"/>
    <n v="1"/>
    <b v="0"/>
  </r>
  <r>
    <s v="ORD1341"/>
    <x v="225"/>
    <s v="CUST1036"/>
    <x v="5"/>
    <x v="2"/>
    <x v="1"/>
    <x v="4"/>
    <x v="2"/>
    <x v="3"/>
    <n v="2"/>
    <n v="7101"/>
    <n v="0.05"/>
    <n v="13491.9"/>
    <n v="8997.8799999999992"/>
    <n v="4494.0200000000004"/>
    <x v="3"/>
    <n v="3"/>
    <b v="0"/>
  </r>
  <r>
    <s v="ORD1342"/>
    <x v="226"/>
    <s v="CUST1033"/>
    <x v="12"/>
    <x v="2"/>
    <x v="0"/>
    <x v="6"/>
    <x v="2"/>
    <x v="15"/>
    <n v="4"/>
    <n v="4747"/>
    <n v="0.1"/>
    <n v="17089.2"/>
    <n v="12539.54"/>
    <n v="4549.66"/>
    <x v="1"/>
    <n v="2"/>
    <b v="0"/>
  </r>
  <r>
    <s v="ORD1343"/>
    <x v="202"/>
    <s v="CUST1048"/>
    <x v="85"/>
    <x v="3"/>
    <x v="0"/>
    <x v="5"/>
    <x v="1"/>
    <x v="4"/>
    <n v="2"/>
    <n v="31367"/>
    <n v="0.25"/>
    <n v="47050.5"/>
    <n v="34811.96"/>
    <n v="12238.54"/>
    <x v="2"/>
    <n v="5"/>
    <b v="0"/>
  </r>
  <r>
    <s v="ORD1344"/>
    <x v="29"/>
    <s v="CUST1067"/>
    <x v="24"/>
    <x v="3"/>
    <x v="0"/>
    <x v="2"/>
    <x v="2"/>
    <x v="3"/>
    <n v="8"/>
    <n v="5660"/>
    <n v="0.2"/>
    <n v="36224"/>
    <n v="24607.46"/>
    <n v="11616.54"/>
    <x v="0"/>
    <n v="1"/>
    <b v="0"/>
  </r>
  <r>
    <s v="ORD1345"/>
    <x v="199"/>
    <s v="CUST1032"/>
    <x v="78"/>
    <x v="3"/>
    <x v="1"/>
    <x v="3"/>
    <x v="3"/>
    <x v="14"/>
    <n v="3"/>
    <n v="2192"/>
    <n v="0.2"/>
    <n v="5260.8"/>
    <n v="3601.96"/>
    <n v="1658.84"/>
    <x v="1"/>
    <n v="4"/>
    <b v="0"/>
  </r>
  <r>
    <s v="ORD1346"/>
    <x v="129"/>
    <s v="CUST1051"/>
    <x v="97"/>
    <x v="3"/>
    <x v="0"/>
    <x v="6"/>
    <x v="0"/>
    <x v="9"/>
    <n v="1"/>
    <n v="7136"/>
    <n v="0.25"/>
    <n v="5352"/>
    <n v="4433.05"/>
    <n v="918.95"/>
    <x v="3"/>
    <n v="2"/>
    <b v="0"/>
  </r>
  <r>
    <s v="ORD1347"/>
    <x v="90"/>
    <s v="CUST1018"/>
    <x v="13"/>
    <x v="3"/>
    <x v="1"/>
    <x v="1"/>
    <x v="1"/>
    <x v="8"/>
    <n v="3"/>
    <n v="1792"/>
    <n v="0.25"/>
    <n v="4032"/>
    <n v="2733.63"/>
    <n v="1298.3699999999999"/>
    <x v="2"/>
    <n v="4"/>
    <b v="0"/>
  </r>
  <r>
    <s v="ORD1348"/>
    <x v="173"/>
    <s v="CUST1082"/>
    <x v="25"/>
    <x v="0"/>
    <x v="0"/>
    <x v="7"/>
    <x v="1"/>
    <x v="13"/>
    <n v="4"/>
    <n v="63716"/>
    <n v="0.15"/>
    <n v="216634.4"/>
    <n v="165496.75"/>
    <n v="51137.65"/>
    <x v="3"/>
    <n v="4"/>
    <b v="0"/>
  </r>
  <r>
    <s v="ORD1349"/>
    <x v="227"/>
    <s v="CUST1064"/>
    <x v="50"/>
    <x v="1"/>
    <x v="0"/>
    <x v="7"/>
    <x v="1"/>
    <x v="8"/>
    <n v="2"/>
    <n v="24630"/>
    <n v="0.1"/>
    <n v="44334"/>
    <n v="25407.87"/>
    <n v="18926.13"/>
    <x v="2"/>
    <n v="3"/>
    <b v="0"/>
  </r>
  <r>
    <s v="ORD1350"/>
    <x v="65"/>
    <s v="CUST1049"/>
    <x v="90"/>
    <x v="1"/>
    <x v="0"/>
    <x v="4"/>
    <x v="0"/>
    <x v="1"/>
    <n v="2"/>
    <n v="5444"/>
    <n v="0.1"/>
    <n v="9799.2000000000007"/>
    <n v="6615.88"/>
    <n v="3183.32"/>
    <x v="1"/>
    <n v="5"/>
    <b v="0"/>
  </r>
  <r>
    <s v="ORD1351"/>
    <x v="38"/>
    <s v="CUST1045"/>
    <x v="12"/>
    <x v="1"/>
    <x v="1"/>
    <x v="1"/>
    <x v="2"/>
    <x v="3"/>
    <n v="1"/>
    <n v="4816"/>
    <n v="0"/>
    <n v="4816"/>
    <n v="3576.48"/>
    <n v="1239.52"/>
    <x v="2"/>
    <n v="1"/>
    <b v="0"/>
  </r>
  <r>
    <s v="ORD1352"/>
    <x v="176"/>
    <s v="CUST1092"/>
    <x v="93"/>
    <x v="0"/>
    <x v="1"/>
    <x v="3"/>
    <x v="1"/>
    <x v="8"/>
    <n v="8"/>
    <n v="53722"/>
    <n v="0.1"/>
    <n v="386798.4"/>
    <n v="234423.32"/>
    <n v="152375.07999999999"/>
    <x v="2"/>
    <n v="3"/>
    <b v="0"/>
  </r>
  <r>
    <s v="ORD1353"/>
    <x v="228"/>
    <s v="CUST1042"/>
    <x v="74"/>
    <x v="3"/>
    <x v="0"/>
    <x v="7"/>
    <x v="0"/>
    <x v="11"/>
    <n v="4"/>
    <n v="12833"/>
    <n v="0.2"/>
    <n v="41065.599999999999"/>
    <n v="31156.02"/>
    <n v="9909.58"/>
    <x v="2"/>
    <n v="3"/>
    <b v="0"/>
  </r>
  <r>
    <s v="ORD1354"/>
    <x v="229"/>
    <s v="CUST1011"/>
    <x v="68"/>
    <x v="3"/>
    <x v="0"/>
    <x v="1"/>
    <x v="0"/>
    <x v="0"/>
    <n v="3"/>
    <n v="12964"/>
    <n v="0.25"/>
    <n v="29169"/>
    <n v="24781.59"/>
    <n v="4387.41"/>
    <x v="1"/>
    <n v="2"/>
    <b v="0"/>
  </r>
  <r>
    <s v="ORD1355"/>
    <x v="124"/>
    <s v="CUST1067"/>
    <x v="20"/>
    <x v="1"/>
    <x v="1"/>
    <x v="5"/>
    <x v="2"/>
    <x v="15"/>
    <n v="7"/>
    <n v="5412"/>
    <n v="0"/>
    <n v="37884"/>
    <n v="24235.99"/>
    <n v="13648.01"/>
    <x v="0"/>
    <n v="5"/>
    <b v="0"/>
  </r>
  <r>
    <s v="ORD1356"/>
    <x v="220"/>
    <s v="CUST1074"/>
    <x v="65"/>
    <x v="1"/>
    <x v="0"/>
    <x v="4"/>
    <x v="0"/>
    <x v="0"/>
    <n v="2"/>
    <n v="4393"/>
    <n v="0.1"/>
    <n v="7907.4"/>
    <n v="5902.48"/>
    <n v="2004.92"/>
    <x v="2"/>
    <n v="4"/>
    <b v="0"/>
  </r>
  <r>
    <s v="ORD1357"/>
    <x v="23"/>
    <s v="CUST1070"/>
    <x v="1"/>
    <x v="2"/>
    <x v="0"/>
    <x v="2"/>
    <x v="1"/>
    <x v="13"/>
    <n v="4"/>
    <n v="11975"/>
    <n v="0"/>
    <n v="47900"/>
    <n v="33679.29"/>
    <n v="14220.71"/>
    <x v="0"/>
    <n v="4"/>
    <b v="0"/>
  </r>
  <r>
    <s v="ORD1358"/>
    <x v="90"/>
    <s v="CUST1029"/>
    <x v="97"/>
    <x v="1"/>
    <x v="0"/>
    <x v="7"/>
    <x v="3"/>
    <x v="5"/>
    <n v="8"/>
    <n v="8414"/>
    <n v="0.25"/>
    <n v="50484"/>
    <n v="42562"/>
    <n v="7922"/>
    <x v="1"/>
    <n v="2"/>
    <b v="0"/>
  </r>
  <r>
    <s v="ORD1359"/>
    <x v="123"/>
    <s v="CUST1012"/>
    <x v="31"/>
    <x v="1"/>
    <x v="0"/>
    <x v="6"/>
    <x v="2"/>
    <x v="7"/>
    <n v="6"/>
    <n v="5772"/>
    <n v="0.25"/>
    <n v="25974"/>
    <n v="15099.28"/>
    <n v="10874.72"/>
    <x v="2"/>
    <n v="5"/>
    <b v="0"/>
  </r>
  <r>
    <s v="ORD1360"/>
    <x v="78"/>
    <s v="CUST1075"/>
    <x v="89"/>
    <x v="2"/>
    <x v="0"/>
    <x v="7"/>
    <x v="2"/>
    <x v="7"/>
    <n v="3"/>
    <n v="2235"/>
    <n v="0.2"/>
    <n v="5364"/>
    <n v="3513.28"/>
    <n v="1850.72"/>
    <x v="3"/>
    <n v="4"/>
    <b v="0"/>
  </r>
  <r>
    <s v="ORD1361"/>
    <x v="107"/>
    <s v="CUST1032"/>
    <x v="88"/>
    <x v="1"/>
    <x v="1"/>
    <x v="6"/>
    <x v="1"/>
    <x v="8"/>
    <n v="6"/>
    <n v="1867"/>
    <n v="0.25"/>
    <n v="8401.5"/>
    <n v="7162.1"/>
    <n v="1239.4000000000001"/>
    <x v="1"/>
    <n v="3"/>
    <b v="0"/>
  </r>
  <r>
    <s v="ORD1362"/>
    <x v="101"/>
    <s v="CUST1029"/>
    <x v="21"/>
    <x v="0"/>
    <x v="1"/>
    <x v="1"/>
    <x v="0"/>
    <x v="0"/>
    <n v="5"/>
    <n v="6214"/>
    <n v="0.1"/>
    <n v="27963"/>
    <n v="20740.54"/>
    <n v="7222.46"/>
    <x v="0"/>
    <n v="3"/>
    <b v="0"/>
  </r>
  <r>
    <s v="ORD1363"/>
    <x v="117"/>
    <s v="CUST1028"/>
    <x v="98"/>
    <x v="3"/>
    <x v="0"/>
    <x v="5"/>
    <x v="0"/>
    <x v="9"/>
    <n v="3"/>
    <n v="13066"/>
    <n v="0.1"/>
    <n v="35278.199999999997"/>
    <n v="30219.87"/>
    <n v="5058.33"/>
    <x v="3"/>
    <n v="5"/>
    <b v="0"/>
  </r>
  <r>
    <s v="ORD1364"/>
    <x v="230"/>
    <s v="CUST1075"/>
    <x v="60"/>
    <x v="1"/>
    <x v="0"/>
    <x v="1"/>
    <x v="3"/>
    <x v="6"/>
    <n v="6"/>
    <n v="20208"/>
    <n v="0.15"/>
    <n v="103060.8"/>
    <n v="88650.58"/>
    <n v="14410.22"/>
    <x v="3"/>
    <n v="2"/>
    <b v="0"/>
  </r>
  <r>
    <s v="ORD1365"/>
    <x v="231"/>
    <s v="CUST1054"/>
    <x v="43"/>
    <x v="1"/>
    <x v="0"/>
    <x v="3"/>
    <x v="2"/>
    <x v="10"/>
    <n v="5"/>
    <n v="5200"/>
    <n v="0"/>
    <n v="26000"/>
    <n v="19827.72"/>
    <n v="6172.28"/>
    <x v="2"/>
    <n v="4"/>
    <b v="0"/>
  </r>
  <r>
    <s v="ORD1366"/>
    <x v="202"/>
    <s v="CUST1046"/>
    <x v="35"/>
    <x v="3"/>
    <x v="1"/>
    <x v="1"/>
    <x v="2"/>
    <x v="3"/>
    <n v="4"/>
    <n v="722"/>
    <n v="0.05"/>
    <n v="2743.6"/>
    <n v="2113.56"/>
    <n v="630.04"/>
    <x v="2"/>
    <n v="1"/>
    <b v="0"/>
  </r>
  <r>
    <s v="ORD1367"/>
    <x v="114"/>
    <s v="CUST1003"/>
    <x v="84"/>
    <x v="0"/>
    <x v="1"/>
    <x v="7"/>
    <x v="2"/>
    <x v="10"/>
    <n v="7"/>
    <n v="6770"/>
    <n v="0.25"/>
    <n v="35542.5"/>
    <n v="27590.97"/>
    <n v="7951.53"/>
    <x v="0"/>
    <n v="5"/>
    <b v="0"/>
  </r>
  <r>
    <s v="ORD1368"/>
    <x v="129"/>
    <s v="CUST1040"/>
    <x v="31"/>
    <x v="2"/>
    <x v="1"/>
    <x v="0"/>
    <x v="1"/>
    <x v="2"/>
    <n v="6"/>
    <n v="48479"/>
    <n v="0.25"/>
    <n v="218155.5"/>
    <n v="161970.20000000001"/>
    <n v="56185.3"/>
    <x v="0"/>
    <n v="2"/>
    <b v="0"/>
  </r>
  <r>
    <s v="ORD1369"/>
    <x v="161"/>
    <s v="CUST1080"/>
    <x v="39"/>
    <x v="2"/>
    <x v="0"/>
    <x v="0"/>
    <x v="1"/>
    <x v="13"/>
    <n v="4"/>
    <n v="66168"/>
    <n v="0.25"/>
    <n v="198504"/>
    <n v="152348.84"/>
    <n v="46155.16"/>
    <x v="2"/>
    <n v="3"/>
    <b v="0"/>
  </r>
  <r>
    <s v="ORD1370"/>
    <x v="86"/>
    <s v="CUST1081"/>
    <x v="56"/>
    <x v="3"/>
    <x v="0"/>
    <x v="0"/>
    <x v="2"/>
    <x v="3"/>
    <n v="8"/>
    <n v="6500"/>
    <n v="0.1"/>
    <n v="46800"/>
    <n v="28837.34"/>
    <n v="17962.66"/>
    <x v="3"/>
    <n v="5"/>
    <b v="0"/>
  </r>
  <r>
    <s v="ORD1371"/>
    <x v="232"/>
    <s v="CUST1042"/>
    <x v="44"/>
    <x v="2"/>
    <x v="0"/>
    <x v="7"/>
    <x v="3"/>
    <x v="6"/>
    <n v="4"/>
    <n v="2142"/>
    <n v="0.15"/>
    <n v="7282.8"/>
    <n v="5968.99"/>
    <n v="1313.81"/>
    <x v="3"/>
    <n v="2"/>
    <b v="0"/>
  </r>
  <r>
    <s v="ORD1372"/>
    <x v="233"/>
    <s v="CUST1010"/>
    <x v="60"/>
    <x v="2"/>
    <x v="0"/>
    <x v="5"/>
    <x v="2"/>
    <x v="3"/>
    <n v="2"/>
    <n v="2143"/>
    <n v="0.15"/>
    <n v="3643.1"/>
    <n v="2070.09"/>
    <n v="1573.01"/>
    <x v="2"/>
    <n v="3"/>
    <b v="0"/>
  </r>
  <r>
    <s v="ORD1373"/>
    <x v="149"/>
    <s v="CUST1011"/>
    <x v="83"/>
    <x v="3"/>
    <x v="0"/>
    <x v="7"/>
    <x v="3"/>
    <x v="14"/>
    <n v="8"/>
    <n v="3304"/>
    <n v="0.15"/>
    <n v="22467.200000000001"/>
    <n v="14420.83"/>
    <n v="8046.37"/>
    <x v="2"/>
    <n v="4"/>
    <b v="0"/>
  </r>
  <r>
    <s v="ORD1374"/>
    <x v="234"/>
    <s v="CUST1026"/>
    <x v="37"/>
    <x v="2"/>
    <x v="0"/>
    <x v="1"/>
    <x v="2"/>
    <x v="3"/>
    <n v="1"/>
    <n v="3088"/>
    <n v="0.2"/>
    <n v="2470.4"/>
    <n v="1409.72"/>
    <n v="1060.68"/>
    <x v="2"/>
    <n v="2"/>
    <b v="0"/>
  </r>
  <r>
    <s v="ORD1375"/>
    <x v="99"/>
    <s v="CUST1040"/>
    <x v="15"/>
    <x v="0"/>
    <x v="1"/>
    <x v="0"/>
    <x v="2"/>
    <x v="10"/>
    <n v="4"/>
    <n v="5091"/>
    <n v="0.25"/>
    <n v="15273"/>
    <n v="9091.39"/>
    <n v="6181.61"/>
    <x v="2"/>
    <n v="1"/>
    <b v="0"/>
  </r>
  <r>
    <s v="ORD1376"/>
    <x v="54"/>
    <s v="CUST1009"/>
    <x v="99"/>
    <x v="3"/>
    <x v="0"/>
    <x v="0"/>
    <x v="2"/>
    <x v="10"/>
    <n v="7"/>
    <n v="3407"/>
    <n v="0.05"/>
    <n v="22656.55"/>
    <n v="14568.92"/>
    <n v="8087.63"/>
    <x v="1"/>
    <n v="3"/>
    <b v="0"/>
  </r>
  <r>
    <s v="ORD1377"/>
    <x v="119"/>
    <s v="CUST1020"/>
    <x v="28"/>
    <x v="1"/>
    <x v="0"/>
    <x v="1"/>
    <x v="0"/>
    <x v="0"/>
    <n v="7"/>
    <n v="3229"/>
    <n v="0.2"/>
    <n v="18082.400000000001"/>
    <n v="15849.56"/>
    <n v="2232.84"/>
    <x v="0"/>
    <n v="1"/>
    <b v="0"/>
  </r>
  <r>
    <s v="ORD1378"/>
    <x v="235"/>
    <s v="CUST1016"/>
    <x v="88"/>
    <x v="0"/>
    <x v="1"/>
    <x v="6"/>
    <x v="0"/>
    <x v="9"/>
    <n v="6"/>
    <n v="12622"/>
    <n v="0"/>
    <n v="75732"/>
    <n v="63140.21"/>
    <n v="12591.79"/>
    <x v="0"/>
    <n v="5"/>
    <b v="0"/>
  </r>
  <r>
    <s v="ORD1379"/>
    <x v="236"/>
    <s v="CUST1014"/>
    <x v="56"/>
    <x v="3"/>
    <x v="1"/>
    <x v="4"/>
    <x v="1"/>
    <x v="2"/>
    <n v="5"/>
    <n v="38653"/>
    <n v="0.2"/>
    <n v="154612"/>
    <n v="114594.36"/>
    <n v="40017.64"/>
    <x v="3"/>
    <n v="1"/>
    <b v="0"/>
  </r>
  <r>
    <s v="ORD1380"/>
    <x v="9"/>
    <s v="CUST1098"/>
    <x v="100"/>
    <x v="3"/>
    <x v="1"/>
    <x v="5"/>
    <x v="0"/>
    <x v="1"/>
    <n v="6"/>
    <n v="2235"/>
    <n v="0.15"/>
    <n v="11398.5"/>
    <n v="6890.96"/>
    <n v="4507.54"/>
    <x v="1"/>
    <n v="1"/>
    <b v="0"/>
  </r>
  <r>
    <s v="ORD1381"/>
    <x v="237"/>
    <s v="CUST1031"/>
    <x v="48"/>
    <x v="2"/>
    <x v="0"/>
    <x v="7"/>
    <x v="3"/>
    <x v="6"/>
    <n v="3"/>
    <n v="23503"/>
    <n v="0.1"/>
    <n v="63458.1"/>
    <n v="41969.19"/>
    <n v="21488.91"/>
    <x v="2"/>
    <n v="1"/>
    <b v="0"/>
  </r>
  <r>
    <s v="ORD1382"/>
    <x v="27"/>
    <s v="CUST1045"/>
    <x v="11"/>
    <x v="0"/>
    <x v="0"/>
    <x v="4"/>
    <x v="1"/>
    <x v="8"/>
    <n v="6"/>
    <n v="39389"/>
    <n v="0.15"/>
    <n v="200883.9"/>
    <n v="127037.12"/>
    <n v="73846.78"/>
    <x v="2"/>
    <n v="5"/>
    <b v="0"/>
  </r>
  <r>
    <s v="ORD1383"/>
    <x v="45"/>
    <s v="CUST1072"/>
    <x v="38"/>
    <x v="3"/>
    <x v="0"/>
    <x v="7"/>
    <x v="3"/>
    <x v="6"/>
    <n v="1"/>
    <n v="14081"/>
    <n v="0.2"/>
    <n v="11264.8"/>
    <n v="6544.24"/>
    <n v="4720.5600000000004"/>
    <x v="2"/>
    <n v="3"/>
    <b v="0"/>
  </r>
  <r>
    <s v="ORD1384"/>
    <x v="208"/>
    <s v="CUST1016"/>
    <x v="23"/>
    <x v="2"/>
    <x v="1"/>
    <x v="2"/>
    <x v="2"/>
    <x v="10"/>
    <n v="5"/>
    <n v="3957"/>
    <n v="0"/>
    <n v="19785"/>
    <n v="15925.55"/>
    <n v="3859.45"/>
    <x v="0"/>
    <n v="5"/>
    <b v="0"/>
  </r>
  <r>
    <s v="ORD1385"/>
    <x v="238"/>
    <s v="CUST1021"/>
    <x v="88"/>
    <x v="1"/>
    <x v="1"/>
    <x v="6"/>
    <x v="3"/>
    <x v="14"/>
    <n v="6"/>
    <n v="20775"/>
    <n v="0.2"/>
    <n v="99720"/>
    <n v="77038.87"/>
    <n v="22681.13"/>
    <x v="2"/>
    <n v="1"/>
    <b v="0"/>
  </r>
  <r>
    <s v="ORD1386"/>
    <x v="180"/>
    <s v="CUST1052"/>
    <x v="90"/>
    <x v="1"/>
    <x v="0"/>
    <x v="3"/>
    <x v="3"/>
    <x v="6"/>
    <n v="7"/>
    <n v="3523"/>
    <n v="0.15"/>
    <n v="20961.849999999999"/>
    <n v="13455.31"/>
    <n v="7506.54"/>
    <x v="2"/>
    <n v="3"/>
    <b v="0"/>
  </r>
  <r>
    <s v="ORD1387"/>
    <x v="239"/>
    <s v="CUST1027"/>
    <x v="12"/>
    <x v="0"/>
    <x v="0"/>
    <x v="6"/>
    <x v="3"/>
    <x v="6"/>
    <n v="1"/>
    <n v="8732"/>
    <n v="0.15"/>
    <n v="7422.2"/>
    <n v="5856.99"/>
    <n v="1565.21"/>
    <x v="2"/>
    <n v="2"/>
    <b v="0"/>
  </r>
  <r>
    <s v="ORD1388"/>
    <x v="240"/>
    <s v="CUST1085"/>
    <x v="62"/>
    <x v="2"/>
    <x v="0"/>
    <x v="0"/>
    <x v="2"/>
    <x v="10"/>
    <n v="7"/>
    <n v="1354"/>
    <n v="0"/>
    <n v="9478"/>
    <n v="5872.17"/>
    <n v="3605.83"/>
    <x v="1"/>
    <n v="2"/>
    <b v="0"/>
  </r>
  <r>
    <s v="ORD1389"/>
    <x v="170"/>
    <s v="CUST1088"/>
    <x v="79"/>
    <x v="2"/>
    <x v="0"/>
    <x v="1"/>
    <x v="1"/>
    <x v="2"/>
    <n v="8"/>
    <n v="32789"/>
    <n v="0"/>
    <n v="262312"/>
    <n v="168751.7"/>
    <n v="93560.3"/>
    <x v="3"/>
    <n v="3"/>
    <b v="0"/>
  </r>
  <r>
    <s v="ORD1390"/>
    <x v="68"/>
    <s v="CUST1037"/>
    <x v="81"/>
    <x v="0"/>
    <x v="1"/>
    <x v="3"/>
    <x v="0"/>
    <x v="1"/>
    <n v="1"/>
    <n v="9905"/>
    <n v="0.25"/>
    <n v="7428.75"/>
    <n v="4810.6099999999997"/>
    <n v="2618.14"/>
    <x v="3"/>
    <n v="4"/>
    <b v="0"/>
  </r>
  <r>
    <s v="ORD1391"/>
    <x v="2"/>
    <s v="CUST1083"/>
    <x v="63"/>
    <x v="2"/>
    <x v="0"/>
    <x v="7"/>
    <x v="1"/>
    <x v="13"/>
    <n v="2"/>
    <n v="53931"/>
    <n v="0.6"/>
    <n v="107862"/>
    <n v="71671.320000000007"/>
    <n v="36190.68"/>
    <x v="2"/>
    <n v="3"/>
    <b v="0"/>
  </r>
  <r>
    <s v="ORD1392"/>
    <x v="241"/>
    <s v="CUST1004"/>
    <x v="20"/>
    <x v="1"/>
    <x v="0"/>
    <x v="3"/>
    <x v="1"/>
    <x v="4"/>
    <n v="30"/>
    <n v="74384"/>
    <n v="0"/>
    <n v="148768"/>
    <n v="127748.55"/>
    <n v="21019.45"/>
    <x v="3"/>
    <n v="4"/>
    <b v="0"/>
  </r>
  <r>
    <s v="ORD1393"/>
    <x v="72"/>
    <s v="CUST1073"/>
    <x v="78"/>
    <x v="0"/>
    <x v="1"/>
    <x v="0"/>
    <x v="0"/>
    <x v="1"/>
    <n v="6"/>
    <n v="6897"/>
    <n v="0.05"/>
    <n v="39312.9"/>
    <n v="24079.14"/>
    <n v="15233.76"/>
    <x v="1"/>
    <n v="3"/>
    <b v="0"/>
  </r>
  <r>
    <s v="ORD1394"/>
    <x v="242"/>
    <s v="CUST1053"/>
    <x v="77"/>
    <x v="0"/>
    <x v="0"/>
    <x v="1"/>
    <x v="0"/>
    <x v="0"/>
    <n v="3"/>
    <n v="11429"/>
    <n v="0"/>
    <n v="34287"/>
    <n v="18935.669999999998"/>
    <n v="15351.33"/>
    <x v="3"/>
    <n v="2"/>
    <b v="0"/>
  </r>
  <r>
    <s v="ORD1395"/>
    <x v="153"/>
    <s v="CUST1030"/>
    <x v="19"/>
    <x v="1"/>
    <x v="0"/>
    <x v="3"/>
    <x v="0"/>
    <x v="1"/>
    <n v="4"/>
    <n v="4914"/>
    <n v="0"/>
    <n v="19656"/>
    <n v="13665.23"/>
    <n v="5990.77"/>
    <x v="2"/>
    <n v="1"/>
    <b v="0"/>
  </r>
  <r>
    <s v="ORD1396"/>
    <x v="243"/>
    <s v="CUST1052"/>
    <x v="68"/>
    <x v="1"/>
    <x v="0"/>
    <x v="5"/>
    <x v="3"/>
    <x v="14"/>
    <n v="6"/>
    <n v="12403"/>
    <n v="0.15"/>
    <n v="63255.3"/>
    <n v="40801.06"/>
    <n v="22454.240000000002"/>
    <x v="2"/>
    <n v="1"/>
    <b v="0"/>
  </r>
  <r>
    <s v="ORD1397"/>
    <x v="244"/>
    <s v="CUST1018"/>
    <x v="1"/>
    <x v="2"/>
    <x v="0"/>
    <x v="7"/>
    <x v="1"/>
    <x v="4"/>
    <n v="1"/>
    <n v="4157"/>
    <n v="0.15"/>
    <n v="3533.45"/>
    <n v="2798.1"/>
    <n v="735.35"/>
    <x v="2"/>
    <n v="3"/>
    <b v="0"/>
  </r>
  <r>
    <s v="ORD1398"/>
    <x v="201"/>
    <s v="CUST1053"/>
    <x v="88"/>
    <x v="1"/>
    <x v="1"/>
    <x v="6"/>
    <x v="3"/>
    <x v="5"/>
    <n v="1"/>
    <n v="23595"/>
    <n v="0.1"/>
    <n v="21235.5"/>
    <n v="17292.57"/>
    <n v="3942.93"/>
    <x v="0"/>
    <n v="5"/>
    <b v="0"/>
  </r>
  <r>
    <s v="ORD1399"/>
    <x v="105"/>
    <s v="CUST1092"/>
    <x v="27"/>
    <x v="3"/>
    <x v="1"/>
    <x v="5"/>
    <x v="1"/>
    <x v="8"/>
    <n v="8"/>
    <n v="58936"/>
    <n v="0.15"/>
    <n v="400764.8"/>
    <n v="302012.96000000002"/>
    <n v="98751.84"/>
    <x v="3"/>
    <n v="5"/>
    <b v="0"/>
  </r>
  <r>
    <s v="ORD1400"/>
    <x v="83"/>
    <s v="CUST1031"/>
    <x v="29"/>
    <x v="3"/>
    <x v="1"/>
    <x v="3"/>
    <x v="3"/>
    <x v="6"/>
    <n v="2"/>
    <n v="19942"/>
    <n v="0.05"/>
    <n v="37889.800000000003"/>
    <n v="26231.38"/>
    <n v="11658.42"/>
    <x v="3"/>
    <n v="5"/>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9BC46-AF99-491A-9489-520E8A7989E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B26"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Revenue" fld="12" baseField="0" baseItem="0"/>
  </dataFields>
  <pivotTableStyleInfo name="PivotStyleLight16" showRowHeaders="1" showColHeaders="1" showRowStripes="0" showColStripes="0" showLastColumn="1"/>
  <filters count="1">
    <filter fld="1" type="dateBetween" evalOrder="-1" id="22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C0516-4BAE-4209-AFCA-33B369E1A86E}"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3:K26"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margin" fld="28" baseField="0" baseItem="0"/>
  </dataFields>
  <pivotTableStyleInfo name="PivotStyleLight16" showRowHeaders="1" showColHeaders="1" showRowStripes="0" showColStripes="0" showLastColumn="1"/>
  <filters count="1">
    <filter fld="1" type="dateBetween" evalOrder="-1" id="22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2A41FA-D45F-41E7-AC41-427F95B8ADA5}"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3:H26" firstHeaderRow="1" firstDataRow="1" firstDataCol="1"/>
  <pivotFields count="29">
    <pivotField dataField="1"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1" type="dateBetween" evalOrder="-1" id="22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1115D1-0CCD-4620-ADF0-E1A644D8CAB1}"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3:E26"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Profit" fld="14" baseField="0" baseItem="0"/>
  </dataFields>
  <pivotTableStyleInfo name="PivotStyleLight16" showRowHeaders="1" showColHeaders="1" showRowStripes="0" showColStripes="0" showLastColumn="1"/>
  <filters count="1">
    <filter fld="1" type="dateBetween" evalOrder="-1" id="22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7DE62-95C9-4E10-A25B-060C0AE17921}" name="PivotTable1"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4:B9"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pivotField axis="axisRow" showAll="0">
      <items count="5">
        <item x="2"/>
        <item x="1"/>
        <item x="3"/>
        <item x="0"/>
        <item t="default"/>
      </items>
    </pivotField>
    <pivotField showAll="0"/>
    <pivotField showAll="0"/>
    <pivotField showAll="0"/>
    <pivotField showAll="0"/>
    <pivotField dataField="1" showAll="0"/>
    <pivotField showAll="0"/>
    <pivotField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5">
    <i>
      <x/>
    </i>
    <i>
      <x v="1"/>
    </i>
    <i>
      <x v="2"/>
    </i>
    <i>
      <x v="3"/>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20"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8237F7-40B6-4CD9-81C3-1623BB38FDB1}"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B10"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pivotField showAll="0"/>
    <pivotField axis="axisRow" showAll="0" measureFilter="1">
      <items count="17">
        <item x="1"/>
        <item x="9"/>
        <item x="12"/>
        <item x="11"/>
        <item x="5"/>
        <item x="13"/>
        <item x="10"/>
        <item x="15"/>
        <item x="2"/>
        <item x="0"/>
        <item x="14"/>
        <item x="3"/>
        <item x="4"/>
        <item x="6"/>
        <item x="8"/>
        <item x="7"/>
        <item t="default"/>
      </items>
    </pivotField>
    <pivotField showAll="0"/>
    <pivotField showAll="0"/>
    <pivotField showAll="0"/>
    <pivotField dataField="1" showAll="0"/>
    <pivotField showAll="0"/>
    <pivotField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6">
    <i>
      <x v="2"/>
    </i>
    <i>
      <x v="5"/>
    </i>
    <i>
      <x v="8"/>
    </i>
    <i>
      <x v="12"/>
    </i>
    <i>
      <x v="14"/>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74"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7BB835-C68B-4A56-BAAE-B9AE211E2B50}"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8"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axis="axisRow"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rofit" fld="14" baseField="0" baseItem="0"/>
  </dataFields>
  <chartFormats count="11">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 chart="9" format="4">
      <pivotArea type="data" outline="0" fieldPosition="0">
        <references count="2">
          <reference field="4294967294" count="1" selected="0">
            <x v="0"/>
          </reference>
          <reference field="4" count="1" selected="0">
            <x v="3"/>
          </reference>
        </references>
      </pivotArea>
    </chartFormat>
    <chartFormat chart="9"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7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957088-8B96-4DCA-9F45-5A1EC9E7D1CE}"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12" firstHeaderRow="0"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axis="axisRow" showAll="0">
      <items count="9">
        <item x="3"/>
        <item x="2"/>
        <item x="4"/>
        <item x="0"/>
        <item x="1"/>
        <item x="6"/>
        <item x="7"/>
        <item x="5"/>
        <item t="default"/>
      </items>
    </pivotField>
    <pivotField showAll="0"/>
    <pivotField showAll="0"/>
    <pivotField showAll="0"/>
    <pivotField showAll="0"/>
    <pivotField showAll="0"/>
    <pivotField dataField="1" showAll="0"/>
    <pivotField showAll="0"/>
    <pivotField dataField="1"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9">
    <i>
      <x/>
    </i>
    <i>
      <x v="1"/>
    </i>
    <i>
      <x v="2"/>
    </i>
    <i>
      <x v="3"/>
    </i>
    <i>
      <x v="4"/>
    </i>
    <i>
      <x v="5"/>
    </i>
    <i>
      <x v="6"/>
    </i>
    <i>
      <x v="7"/>
    </i>
    <i t="grand">
      <x/>
    </i>
  </rowItems>
  <colFields count="1">
    <field x="-2"/>
  </colFields>
  <colItems count="2">
    <i>
      <x/>
    </i>
    <i i="1">
      <x v="1"/>
    </i>
  </colItems>
  <dataFields count="2">
    <dataField name="Sum of Revenue" fld="12" baseField="0" baseItem="0"/>
    <dataField name="Sum of Profit"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7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B31216-F3AC-4CBB-9B6B-0F41C43DC64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Revenue" fld="12"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4" count="1" selected="0">
            <x v="5"/>
          </reference>
        </references>
      </pivotArea>
    </chartFormat>
    <chartFormat chart="3" format="4">
      <pivotArea type="data" outline="0" fieldPosition="0">
        <references count="2">
          <reference field="4294967294" count="1" selected="0">
            <x v="0"/>
          </reference>
          <reference field="24" count="1" selected="0">
            <x v="6"/>
          </reference>
        </references>
      </pivotArea>
    </chartFormat>
    <chartFormat chart="3" format="5">
      <pivotArea type="data" outline="0" fieldPosition="0">
        <references count="2">
          <reference field="4294967294" count="1" selected="0">
            <x v="0"/>
          </reference>
          <reference field="24" count="1" selected="0">
            <x v="8"/>
          </reference>
        </references>
      </pivotArea>
    </chartFormat>
    <chartFormat chart="3" format="6">
      <pivotArea type="data" outline="0" fieldPosition="0">
        <references count="2">
          <reference field="4294967294" count="1" selected="0">
            <x v="0"/>
          </reference>
          <reference field="24" count="1" selected="0">
            <x v="12"/>
          </reference>
        </references>
      </pivotArea>
    </chartFormat>
  </chartFormats>
  <pivotTableStyleInfo name="PivotStyleLight16" showRowHeaders="1" showColHeaders="1" showRowStripes="0" showColStripes="0" showLastColumn="1"/>
  <filters count="1">
    <filter fld="1" type="dateBetween" evalOrder="-1" id="77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D2675C-E372-459A-A501-456DF7C4E73B}" name="PivotTable3"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D3:E9"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axis="axisRow" showAll="0" measureFilter="1" sortType="ascending">
      <items count="102">
        <item x="14"/>
        <item x="92"/>
        <item x="86"/>
        <item x="73"/>
        <item x="33"/>
        <item x="32"/>
        <item x="35"/>
        <item x="2"/>
        <item x="41"/>
        <item x="67"/>
        <item x="40"/>
        <item x="21"/>
        <item x="23"/>
        <item x="91"/>
        <item x="1"/>
        <item x="99"/>
        <item x="57"/>
        <item x="15"/>
        <item x="22"/>
        <item x="78"/>
        <item x="69"/>
        <item x="84"/>
        <item x="71"/>
        <item x="19"/>
        <item x="70"/>
        <item x="82"/>
        <item x="60"/>
        <item x="51"/>
        <item x="5"/>
        <item x="4"/>
        <item x="80"/>
        <item x="64"/>
        <item x="20"/>
        <item x="3"/>
        <item x="76"/>
        <item x="50"/>
        <item x="42"/>
        <item x="11"/>
        <item x="31"/>
        <item x="77"/>
        <item x="39"/>
        <item x="36"/>
        <item x="75"/>
        <item x="96"/>
        <item x="79"/>
        <item x="9"/>
        <item x="45"/>
        <item x="13"/>
        <item x="29"/>
        <item x="65"/>
        <item x="59"/>
        <item x="88"/>
        <item x="49"/>
        <item x="55"/>
        <item x="63"/>
        <item x="89"/>
        <item x="93"/>
        <item x="18"/>
        <item x="74"/>
        <item x="12"/>
        <item x="7"/>
        <item x="83"/>
        <item x="94"/>
        <item x="25"/>
        <item x="61"/>
        <item x="81"/>
        <item x="98"/>
        <item x="24"/>
        <item x="54"/>
        <item x="97"/>
        <item x="8"/>
        <item x="87"/>
        <item x="43"/>
        <item x="47"/>
        <item x="27"/>
        <item x="85"/>
        <item x="58"/>
        <item x="68"/>
        <item x="95"/>
        <item x="100"/>
        <item x="46"/>
        <item x="17"/>
        <item x="52"/>
        <item x="30"/>
        <item x="62"/>
        <item x="37"/>
        <item x="0"/>
        <item x="72"/>
        <item x="6"/>
        <item x="90"/>
        <item x="28"/>
        <item x="38"/>
        <item x="26"/>
        <item x="48"/>
        <item x="44"/>
        <item x="56"/>
        <item x="10"/>
        <item x="53"/>
        <item x="66"/>
        <item x="34"/>
        <item x="16"/>
        <item t="default"/>
      </items>
    </pivotField>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22"/>
    </i>
    <i>
      <x v="38"/>
    </i>
    <i>
      <x v="51"/>
    </i>
    <i>
      <x v="58"/>
    </i>
    <i>
      <x v="96"/>
    </i>
    <i t="grand">
      <x/>
    </i>
  </rowItems>
  <colItems count="1">
    <i/>
  </colItems>
  <dataFields count="1">
    <dataField name="Sum of Profi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224"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E86B9C-0433-480F-B5AC-B9222BE7F7DB}"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E3:F6" firstHeaderRow="1"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5">
        <item x="1"/>
        <item x="3"/>
        <item x="2"/>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3">
    <i>
      <x/>
    </i>
    <i>
      <x v="1"/>
    </i>
    <i t="grand">
      <x/>
    </i>
  </rowItems>
  <colItems count="1">
    <i/>
  </colItems>
  <dataFields count="1">
    <dataField name="Sum of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22"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71A1AE-BDD7-4AAF-B67C-34F2A15E3233}" name="PivotTable1"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C5" firstHeaderRow="0" firstDataRow="1" firstDataCol="1"/>
  <pivotFields count="29">
    <pivotField showAll="0"/>
    <pivotField numFmtId="14" showAll="0">
      <items count="246">
        <item x="77"/>
        <item x="152"/>
        <item x="88"/>
        <item x="201"/>
        <item x="161"/>
        <item x="211"/>
        <item x="116"/>
        <item x="27"/>
        <item x="230"/>
        <item x="196"/>
        <item x="235"/>
        <item x="151"/>
        <item x="46"/>
        <item x="3"/>
        <item x="23"/>
        <item x="92"/>
        <item x="125"/>
        <item x="48"/>
        <item x="199"/>
        <item x="55"/>
        <item x="110"/>
        <item x="63"/>
        <item x="49"/>
        <item x="85"/>
        <item x="68"/>
        <item x="70"/>
        <item x="119"/>
        <item x="174"/>
        <item x="145"/>
        <item x="112"/>
        <item x="158"/>
        <item x="80"/>
        <item x="76"/>
        <item x="14"/>
        <item x="51"/>
        <item x="45"/>
        <item x="87"/>
        <item x="101"/>
        <item x="65"/>
        <item x="223"/>
        <item x="232"/>
        <item x="153"/>
        <item x="182"/>
        <item x="126"/>
        <item x="160"/>
        <item x="239"/>
        <item x="133"/>
        <item x="132"/>
        <item x="141"/>
        <item x="106"/>
        <item x="95"/>
        <item x="215"/>
        <item x="115"/>
        <item x="167"/>
        <item x="164"/>
        <item x="146"/>
        <item x="214"/>
        <item x="37"/>
        <item x="244"/>
        <item x="28"/>
        <item x="202"/>
        <item x="238"/>
        <item x="98"/>
        <item x="216"/>
        <item x="50"/>
        <item x="206"/>
        <item x="34"/>
        <item x="234"/>
        <item x="169"/>
        <item x="242"/>
        <item x="136"/>
        <item x="190"/>
        <item x="108"/>
        <item x="225"/>
        <item x="113"/>
        <item x="72"/>
        <item x="155"/>
        <item x="122"/>
        <item x="59"/>
        <item x="0"/>
        <item x="189"/>
        <item x="69"/>
        <item x="62"/>
        <item x="26"/>
        <item x="18"/>
        <item x="73"/>
        <item x="9"/>
        <item x="143"/>
        <item x="74"/>
        <item x="8"/>
        <item x="7"/>
        <item x="221"/>
        <item x="170"/>
        <item x="193"/>
        <item x="162"/>
        <item x="243"/>
        <item x="19"/>
        <item x="111"/>
        <item x="100"/>
        <item x="177"/>
        <item x="102"/>
        <item x="134"/>
        <item x="148"/>
        <item x="218"/>
        <item x="71"/>
        <item x="156"/>
        <item x="35"/>
        <item x="163"/>
        <item x="83"/>
        <item x="139"/>
        <item x="140"/>
        <item x="13"/>
        <item x="114"/>
        <item x="212"/>
        <item x="36"/>
        <item x="203"/>
        <item x="205"/>
        <item x="121"/>
        <item x="173"/>
        <item x="226"/>
        <item x="40"/>
        <item x="67"/>
        <item x="79"/>
        <item x="44"/>
        <item x="117"/>
        <item x="186"/>
        <item x="41"/>
        <item x="2"/>
        <item x="208"/>
        <item x="1"/>
        <item x="109"/>
        <item x="82"/>
        <item x="57"/>
        <item x="30"/>
        <item x="93"/>
        <item x="171"/>
        <item x="33"/>
        <item x="56"/>
        <item x="227"/>
        <item x="60"/>
        <item x="241"/>
        <item x="135"/>
        <item x="97"/>
        <item x="81"/>
        <item x="209"/>
        <item x="224"/>
        <item x="233"/>
        <item x="194"/>
        <item x="5"/>
        <item x="187"/>
        <item x="240"/>
        <item x="15"/>
        <item x="66"/>
        <item x="54"/>
        <item x="154"/>
        <item x="118"/>
        <item x="142"/>
        <item x="90"/>
        <item x="25"/>
        <item x="198"/>
        <item x="53"/>
        <item x="207"/>
        <item x="61"/>
        <item x="138"/>
        <item x="178"/>
        <item x="175"/>
        <item x="144"/>
        <item x="64"/>
        <item x="183"/>
        <item x="168"/>
        <item x="32"/>
        <item x="157"/>
        <item x="42"/>
        <item x="21"/>
        <item x="16"/>
        <item x="147"/>
        <item x="188"/>
        <item x="103"/>
        <item x="197"/>
        <item x="4"/>
        <item x="176"/>
        <item x="99"/>
        <item x="105"/>
        <item x="39"/>
        <item x="191"/>
        <item x="185"/>
        <item x="130"/>
        <item x="123"/>
        <item x="165"/>
        <item x="220"/>
        <item x="166"/>
        <item x="6"/>
        <item x="172"/>
        <item x="94"/>
        <item x="150"/>
        <item x="11"/>
        <item x="184"/>
        <item x="52"/>
        <item x="22"/>
        <item x="78"/>
        <item x="86"/>
        <item x="124"/>
        <item x="179"/>
        <item x="131"/>
        <item x="229"/>
        <item x="96"/>
        <item x="120"/>
        <item x="20"/>
        <item x="29"/>
        <item x="128"/>
        <item x="204"/>
        <item x="180"/>
        <item x="210"/>
        <item x="237"/>
        <item x="75"/>
        <item x="24"/>
        <item x="31"/>
        <item x="192"/>
        <item x="200"/>
        <item x="219"/>
        <item x="137"/>
        <item x="127"/>
        <item x="181"/>
        <item x="58"/>
        <item x="84"/>
        <item x="47"/>
        <item x="228"/>
        <item x="91"/>
        <item x="104"/>
        <item x="213"/>
        <item x="222"/>
        <item x="231"/>
        <item x="236"/>
        <item x="12"/>
        <item x="17"/>
        <item x="159"/>
        <item x="10"/>
        <item x="195"/>
        <item x="107"/>
        <item x="38"/>
        <item x="149"/>
        <item x="217"/>
        <item x="89"/>
        <item x="129"/>
        <item x="43"/>
        <item t="default"/>
      </items>
    </pivotField>
    <pivotField showAll="0"/>
    <pivotField showAll="0"/>
    <pivotField showAll="0">
      <items count="5">
        <item x="0"/>
        <item x="3"/>
        <item x="2"/>
        <item x="1"/>
        <item t="default"/>
      </items>
    </pivotField>
    <pivotField showAll="0">
      <items count="3">
        <item x="0"/>
        <item x="1"/>
        <item t="default"/>
      </items>
    </pivotField>
    <pivotField showAll="0" measureFilter="1" sortType="descending"/>
    <pivotField showAll="0" measureFilter="1"/>
    <pivotField showAll="0"/>
    <pivotField showAll="0"/>
    <pivotField showAll="0"/>
    <pivotField showAll="0"/>
    <pivotField dataField="1" showAll="0"/>
    <pivotField showAll="0"/>
    <pivotField showAll="0"/>
    <pivotField showAll="0">
      <items count="5">
        <item x="1"/>
        <item x="3"/>
        <item x="2"/>
        <item x="0"/>
        <item t="default"/>
      </items>
    </pivotField>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axis="axisRow" showAll="0" measureFilter="1"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2">
    <i>
      <x v="5"/>
    </i>
    <i t="grand">
      <x/>
    </i>
  </rowItems>
  <colFields count="1">
    <field x="-2"/>
  </colFields>
  <colItems count="2">
    <i>
      <x/>
    </i>
    <i i="1">
      <x v="1"/>
    </i>
  </colItems>
  <dataFields count="2">
    <dataField name="Sum of Revenue" fld="12" baseField="0" baseItem="0"/>
    <dataField name="Sum of Margin %" fld="18" baseField="0" baseItem="0" numFmtId="10"/>
  </dataFields>
  <pivotTableStyleInfo name="PivotStyleLight16" showRowHeaders="1" showColHeaders="1" showRowStripes="0" showColStripes="0" showLastColumn="1"/>
  <filters count="4">
    <filter fld="1" type="dateBetween" evalOrder="-1" id="775"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 fld="24" type="count" evalOrder="-1" id="2" iMeasureFld="0">
      <autoFilter ref="A1">
        <filterColumn colId="0">
          <top10 val="1" filterVal="1"/>
        </filterColumn>
      </autoFilter>
    </filter>
    <filter fld="7" type="count" evalOrder="-1" id="3" iMeasureFld="0">
      <autoFilter ref="A1">
        <filterColumn colId="0">
          <top10 val="1" filterVal="1"/>
        </filterColumn>
      </autoFilter>
    </filter>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49EC8D-9FBF-45C7-B951-7BBBABD7B405}" sourceName="Region">
  <pivotTables>
    <pivotTable tabId="4" name="PivotTable1"/>
    <pivotTable tabId="11" name="PivotTable2"/>
    <pivotTable tabId="10" name="PivotTable3"/>
    <pivotTable tabId="12" name="PivotTable1"/>
    <pivotTable tabId="3" name="PivotTable1"/>
    <pivotTable tabId="3" name="PivotTable2"/>
    <pivotTable tabId="3" name="PivotTable3"/>
    <pivotTable tabId="3" name="PivotTable4"/>
    <pivotTable tabId="9" name="PivotTable1"/>
    <pivotTable tabId="5" name="PivotTable3"/>
    <pivotTable tabId="6" name="PivotTable1"/>
    <pivotTable tabId="8" name="PivotTable1"/>
  </pivotTables>
  <data>
    <tabular pivotCacheId="1380135960">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916D355-41AF-4FEE-83CF-55BEC67C9BC9}" sourceName="Sales_Channel">
  <pivotTables>
    <pivotTable tabId="4" name="PivotTable1"/>
    <pivotTable tabId="11" name="PivotTable2"/>
    <pivotTable tabId="10" name="PivotTable3"/>
    <pivotTable tabId="12" name="PivotTable1"/>
    <pivotTable tabId="3" name="PivotTable1"/>
    <pivotTable tabId="3" name="PivotTable2"/>
    <pivotTable tabId="3" name="PivotTable3"/>
    <pivotTable tabId="3" name="PivotTable4"/>
    <pivotTable tabId="9" name="PivotTable1"/>
    <pivotTable tabId="5" name="PivotTable3"/>
    <pivotTable tabId="6" name="PivotTable1"/>
    <pivotTable tabId="8" name="PivotTable1"/>
  </pivotTables>
  <data>
    <tabular pivotCacheId="13801359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2271010-66A1-4F9A-AF9C-AD8952DE8B44}" sourceName="Payment_Mode">
  <pivotTables>
    <pivotTable tabId="4" name="PivotTable1"/>
    <pivotTable tabId="11" name="PivotTable2"/>
    <pivotTable tabId="10" name="PivotTable3"/>
    <pivotTable tabId="12" name="PivotTable1"/>
    <pivotTable tabId="3" name="PivotTable1"/>
    <pivotTable tabId="3" name="PivotTable2"/>
    <pivotTable tabId="3" name="PivotTable3"/>
    <pivotTable tabId="3" name="PivotTable4"/>
    <pivotTable tabId="9" name="PivotTable1"/>
    <pivotTable tabId="5" name="PivotTable3"/>
    <pivotTable tabId="6" name="PivotTable1"/>
    <pivotTable tabId="8" name="PivotTable1"/>
  </pivotTables>
  <data>
    <tabular pivotCacheId="1380135960">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7A11042-31F3-4DB3-924A-2BE029D93CBF}" cache="Slicer_Region" caption="Region" style="SlicerStyleLight1 2" rowHeight="234950"/>
  <slicer name="Sales_Channel 1" xr10:uid="{CDB4BE4D-EBFD-44A4-B1B2-449CE163EE61}" cache="Slicer_Sales_Channel" caption="Sales_Channel" style="SlicerStyleLight1 2" rowHeight="234950"/>
  <slicer name="Payment_Mode 1" xr10:uid="{0A642B31-A81A-498F-B915-75B1CA8971D6}" cache="Slicer_Payment_Mode" caption="Payment_Mode"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2EDFF2-DD84-4701-8CFB-6868A2D97226}" cache="Slicer_Region" caption="Region" rowHeight="234950"/>
  <slicer name="Sales_Channel" xr10:uid="{70099BFD-9C9A-4E59-B367-761251755EBE}" cache="Slicer_Sales_Channel" caption="Sales_Channel" rowHeight="234950"/>
  <slicer name="Payment_Mode" xr10:uid="{9340423B-DA10-4756-8F8B-809762D5DA19}" cache="Slicer_Payment_Mode" caption="Payment_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0BD2D-8A9D-4230-B4A9-60F4F4BD4C4B}" name="Table1" displayName="Table1" ref="A1:R401" totalsRowShown="0">
  <autoFilter ref="A1:R401" xr:uid="{AA50BD2D-8A9D-4230-B4A9-60F4F4BD4C4B}"/>
  <tableColumns count="18">
    <tableColumn id="1" xr3:uid="{0850D420-ECB8-474F-AD75-FD775B439D15}" name="Order_ID"/>
    <tableColumn id="2" xr3:uid="{0B601664-8F52-452B-A99C-9C912A190D08}" name="Order_Date" dataDxfId="2"/>
    <tableColumn id="3" xr3:uid="{E0EE447B-9E1F-4FC7-9CC4-EEDAD48FF240}" name="Customer_ID"/>
    <tableColumn id="4" xr3:uid="{493AF695-EBAD-44D4-92EB-8FFC47F62812}" name="Customer_Name"/>
    <tableColumn id="5" xr3:uid="{132AE5B4-35B6-4B2E-8D85-60DA01B53134}" name="Region"/>
    <tableColumn id="7" xr3:uid="{A0F93208-6978-400E-BDA2-AC46813E27DA}" name="Sales_Channel"/>
    <tableColumn id="8" xr3:uid="{099B119F-5CAB-48B0-855E-B233B0DD5FF8}" name="Salesperson2"/>
    <tableColumn id="9" xr3:uid="{F0C881A3-3A94-47A0-B3D0-D9BB6B100A21}" name="Category"/>
    <tableColumn id="10" xr3:uid="{3CA17BED-63C5-4472-AB79-080D66FD32FA}" name="Product"/>
    <tableColumn id="11" xr3:uid="{4F6B95B3-6BB0-4B38-A5C7-9FC5A654790D}" name="Quantity"/>
    <tableColumn id="12" xr3:uid="{69457EB2-6411-43DC-BC4F-093C93CBA8F2}" name="Unit_Price"/>
    <tableColumn id="13" xr3:uid="{72810042-274D-4657-961A-2CA7A25DABD1}" name="Discount"/>
    <tableColumn id="14" xr3:uid="{78065DCB-09FA-4432-AE45-4E8A5FD08FE1}" name="Revenue"/>
    <tableColumn id="15" xr3:uid="{A02DCEC9-DAD8-4B38-8F29-4D8B6D9BB15F}" name="Cost"/>
    <tableColumn id="16" xr3:uid="{1A573E4E-9264-475B-A961-51EAE7F6FE76}" name="Profit"/>
    <tableColumn id="17" xr3:uid="{C89AA8A0-3300-466A-8FA6-775B4C475980}" name="Payment_Mode"/>
    <tableColumn id="18" xr3:uid="{19B9872C-9302-404D-AFCE-0609EEF70C79}" name="Customer_Rating"/>
    <tableColumn id="6" xr3:uid="{B77543F0-7EC4-4FB8-9CF3-F2D0DF95FA6B}" name="Column1" dataDxfId="1">
      <calculatedColumnFormula>ISBLANK(Table1[[#This Row],[Region]])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86D924F-DA79-4CCE-92EC-45FDE2AAECE5}" sourceName="Order_Date">
  <pivotTables>
    <pivotTable tabId="4" name="PivotTable1"/>
    <pivotTable tabId="12" name="PivotTable1"/>
    <pivotTable tabId="9" name="PivotTable1"/>
    <pivotTable tabId="5" name="PivotTable3"/>
    <pivotTable tabId="6" name="PivotTable1"/>
    <pivotTable tabId="8" name="PivotTable1"/>
    <pivotTable tabId="11" name="PivotTable2"/>
    <pivotTable tabId="10" name="PivotTable3"/>
    <pivotTable tabId="3" name="PivotTable1"/>
    <pivotTable tabId="3" name="PivotTable2"/>
    <pivotTable tabId="3" name="PivotTable3"/>
    <pivotTable tabId="3" name="PivotTable4"/>
  </pivotTables>
  <state minimalRefreshVersion="6" lastRefreshVersion="6" pivotCacheId="1380135960" filterType="dateBetween">
    <selection startDate="2025-01-01T00:00:00" endDate="2026-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92A210D-7383-41D4-85F0-E4B02E25069F}" cache="NativeTimeline_Order_Date" caption="Order_Date" level="1" selectionLevel="0" scrollPosition="2025-01-01T00:00:00" style="TimeSlicerStyleLight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DEA3A24-8331-4D8A-892F-28BC97E38D0A}" cache="NativeTimeline_Order_Date" caption="Order_Date" level="2" selectionLevel="0" scrollPosition="2025-04-23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8986-6009-47B9-97CD-3DC820CF92F3}">
  <dimension ref="A1:K27"/>
  <sheetViews>
    <sheetView topLeftCell="A9" workbookViewId="0">
      <selection activeCell="K27" sqref="K27"/>
    </sheetView>
  </sheetViews>
  <sheetFormatPr defaultRowHeight="14.4" x14ac:dyDescent="0.3"/>
  <cols>
    <col min="1" max="1" width="12.5546875" bestFit="1" customWidth="1"/>
    <col min="2" max="2" width="14.88671875" bestFit="1" customWidth="1"/>
    <col min="4" max="4" width="12.5546875" bestFit="1" customWidth="1"/>
    <col min="5" max="5" width="12.109375" bestFit="1" customWidth="1"/>
    <col min="7" max="7" width="12.5546875" bestFit="1" customWidth="1"/>
    <col min="8" max="8" width="16.44140625" bestFit="1" customWidth="1"/>
    <col min="10" max="10" width="12.5546875" bestFit="1" customWidth="1"/>
    <col min="11" max="11" width="13.44140625" bestFit="1" customWidth="1"/>
  </cols>
  <sheetData>
    <row r="1" spans="1:11" x14ac:dyDescent="0.3">
      <c r="A1" s="14" t="s">
        <v>659</v>
      </c>
      <c r="B1" s="14"/>
    </row>
    <row r="2" spans="1:11" x14ac:dyDescent="0.3">
      <c r="A2" s="14"/>
      <c r="B2" s="14"/>
    </row>
    <row r="3" spans="1:11" x14ac:dyDescent="0.3">
      <c r="A3" t="s">
        <v>660</v>
      </c>
      <c r="B3" s="9">
        <f>SUM(data!M$1:M$401)</f>
        <v>25173344.699999999</v>
      </c>
    </row>
    <row r="4" spans="1:11" x14ac:dyDescent="0.3">
      <c r="A4" s="5" t="s">
        <v>661</v>
      </c>
      <c r="B4" s="10">
        <f>SUM(data!N$1:N$401)</f>
        <v>17979030.610000014</v>
      </c>
    </row>
    <row r="5" spans="1:11" x14ac:dyDescent="0.3">
      <c r="A5" s="5" t="s">
        <v>662</v>
      </c>
      <c r="B5" s="10">
        <f>SUM(data!O$1:O$401)</f>
        <v>7194314.0899999952</v>
      </c>
    </row>
    <row r="6" spans="1:11" x14ac:dyDescent="0.3">
      <c r="A6" s="5" t="s">
        <v>663</v>
      </c>
      <c r="B6" s="11">
        <f>B5/B3*100</f>
        <v>28.579094974216897</v>
      </c>
    </row>
    <row r="7" spans="1:11" x14ac:dyDescent="0.3">
      <c r="A7" s="5" t="s">
        <v>664</v>
      </c>
      <c r="B7" s="12">
        <f>COUNTA(Table1[Order_ID])</f>
        <v>400</v>
      </c>
    </row>
    <row r="8" spans="1:11" ht="28.8" x14ac:dyDescent="0.3">
      <c r="A8" s="5" t="s">
        <v>665</v>
      </c>
      <c r="B8" s="5">
        <f>SUM(Table1[Quantity])</f>
        <v>1845</v>
      </c>
    </row>
    <row r="9" spans="1:11" ht="28.8" x14ac:dyDescent="0.3">
      <c r="A9" s="5" t="s">
        <v>666</v>
      </c>
      <c r="B9">
        <f>B3/B7</f>
        <v>62933.361749999996</v>
      </c>
    </row>
    <row r="13" spans="1:11" x14ac:dyDescent="0.3">
      <c r="A13" s="2" t="s">
        <v>655</v>
      </c>
      <c r="B13" t="s">
        <v>658</v>
      </c>
      <c r="D13" s="2" t="s">
        <v>655</v>
      </c>
      <c r="E13" t="s">
        <v>657</v>
      </c>
      <c r="G13" s="2" t="s">
        <v>655</v>
      </c>
      <c r="H13" t="s">
        <v>688</v>
      </c>
      <c r="J13" s="2" t="s">
        <v>655</v>
      </c>
      <c r="K13" t="s">
        <v>742</v>
      </c>
    </row>
    <row r="14" spans="1:11" x14ac:dyDescent="0.3">
      <c r="A14" s="3" t="s">
        <v>698</v>
      </c>
      <c r="B14" s="15">
        <v>1703571.8499999999</v>
      </c>
      <c r="D14" s="3" t="s">
        <v>698</v>
      </c>
      <c r="E14" s="15">
        <v>424595.08999999991</v>
      </c>
      <c r="G14" s="3" t="s">
        <v>698</v>
      </c>
      <c r="H14" s="15">
        <v>31</v>
      </c>
      <c r="J14" s="3" t="s">
        <v>698</v>
      </c>
      <c r="K14" s="15">
        <v>0.24923814631006022</v>
      </c>
    </row>
    <row r="15" spans="1:11" x14ac:dyDescent="0.3">
      <c r="A15" s="3" t="s">
        <v>699</v>
      </c>
      <c r="B15" s="15">
        <v>2374438.7999999993</v>
      </c>
      <c r="D15" s="3" t="s">
        <v>699</v>
      </c>
      <c r="E15" s="15">
        <v>700792.99000000011</v>
      </c>
      <c r="G15" s="3" t="s">
        <v>699</v>
      </c>
      <c r="H15" s="15">
        <v>40</v>
      </c>
      <c r="J15" s="3" t="s">
        <v>699</v>
      </c>
      <c r="K15" s="15">
        <v>0.29514047277192418</v>
      </c>
    </row>
    <row r="16" spans="1:11" x14ac:dyDescent="0.3">
      <c r="A16" s="3" t="s">
        <v>700</v>
      </c>
      <c r="B16" s="15">
        <v>858904.15</v>
      </c>
      <c r="D16" s="3" t="s">
        <v>700</v>
      </c>
      <c r="E16" s="15">
        <v>216968.44999999998</v>
      </c>
      <c r="G16" s="3" t="s">
        <v>700</v>
      </c>
      <c r="H16" s="15">
        <v>28</v>
      </c>
      <c r="J16" s="3" t="s">
        <v>700</v>
      </c>
      <c r="K16" s="15">
        <v>0.25261078317062502</v>
      </c>
    </row>
    <row r="17" spans="1:11" x14ac:dyDescent="0.3">
      <c r="A17" s="3" t="s">
        <v>701</v>
      </c>
      <c r="B17" s="15">
        <v>1214084.3499999999</v>
      </c>
      <c r="D17" s="3" t="s">
        <v>701</v>
      </c>
      <c r="E17" s="15">
        <v>342834.78</v>
      </c>
      <c r="G17" s="3" t="s">
        <v>701</v>
      </c>
      <c r="H17" s="15">
        <v>31</v>
      </c>
      <c r="J17" s="3" t="s">
        <v>701</v>
      </c>
      <c r="K17" s="15">
        <v>0.28238135183935126</v>
      </c>
    </row>
    <row r="18" spans="1:11" x14ac:dyDescent="0.3">
      <c r="A18" s="3" t="s">
        <v>702</v>
      </c>
      <c r="B18" s="15">
        <v>2811452.3499999996</v>
      </c>
      <c r="D18" s="3" t="s">
        <v>702</v>
      </c>
      <c r="E18" s="15">
        <v>837177.9299999997</v>
      </c>
      <c r="G18" s="3" t="s">
        <v>702</v>
      </c>
      <c r="H18" s="15">
        <v>40</v>
      </c>
      <c r="J18" s="3" t="s">
        <v>702</v>
      </c>
      <c r="K18" s="15">
        <v>0.29777418422190216</v>
      </c>
    </row>
    <row r="19" spans="1:11" x14ac:dyDescent="0.3">
      <c r="A19" s="3" t="s">
        <v>703</v>
      </c>
      <c r="B19" s="15">
        <v>2498378.6499999994</v>
      </c>
      <c r="D19" s="3" t="s">
        <v>703</v>
      </c>
      <c r="E19" s="15">
        <v>755692.87000000023</v>
      </c>
      <c r="G19" s="3" t="s">
        <v>703</v>
      </c>
      <c r="H19" s="15">
        <v>36</v>
      </c>
      <c r="J19" s="3" t="s">
        <v>703</v>
      </c>
      <c r="K19" s="15">
        <v>0.30247331404308969</v>
      </c>
    </row>
    <row r="20" spans="1:11" x14ac:dyDescent="0.3">
      <c r="A20" s="3" t="s">
        <v>704</v>
      </c>
      <c r="B20" s="15">
        <v>1982858.5</v>
      </c>
      <c r="D20" s="3" t="s">
        <v>704</v>
      </c>
      <c r="E20" s="15">
        <v>501227.4800000001</v>
      </c>
      <c r="G20" s="3" t="s">
        <v>704</v>
      </c>
      <c r="H20" s="15">
        <v>29</v>
      </c>
      <c r="J20" s="3" t="s">
        <v>704</v>
      </c>
      <c r="K20" s="15">
        <v>0.25278025638238943</v>
      </c>
    </row>
    <row r="21" spans="1:11" x14ac:dyDescent="0.3">
      <c r="A21" s="3" t="s">
        <v>705</v>
      </c>
      <c r="B21" s="15">
        <v>2455951.4999999995</v>
      </c>
      <c r="D21" s="3" t="s">
        <v>705</v>
      </c>
      <c r="E21" s="15">
        <v>717780.54999999993</v>
      </c>
      <c r="G21" s="3" t="s">
        <v>705</v>
      </c>
      <c r="H21" s="15">
        <v>39</v>
      </c>
      <c r="J21" s="3" t="s">
        <v>705</v>
      </c>
      <c r="K21" s="15">
        <v>0.29226169572159716</v>
      </c>
    </row>
    <row r="22" spans="1:11" x14ac:dyDescent="0.3">
      <c r="A22" s="3" t="s">
        <v>706</v>
      </c>
      <c r="B22" s="15">
        <v>2170156.2000000002</v>
      </c>
      <c r="D22" s="3" t="s">
        <v>706</v>
      </c>
      <c r="E22" s="15">
        <v>634707.27</v>
      </c>
      <c r="G22" s="3" t="s">
        <v>706</v>
      </c>
      <c r="H22" s="15">
        <v>27</v>
      </c>
      <c r="J22" s="3" t="s">
        <v>706</v>
      </c>
      <c r="K22" s="15">
        <v>0.29247077698831075</v>
      </c>
    </row>
    <row r="23" spans="1:11" x14ac:dyDescent="0.3">
      <c r="A23" s="3" t="s">
        <v>707</v>
      </c>
      <c r="B23" s="15">
        <v>2790785.9499999997</v>
      </c>
      <c r="D23" s="3" t="s">
        <v>707</v>
      </c>
      <c r="E23" s="15">
        <v>754140.50000000012</v>
      </c>
      <c r="G23" s="3" t="s">
        <v>707</v>
      </c>
      <c r="H23" s="15">
        <v>40</v>
      </c>
      <c r="J23" s="3" t="s">
        <v>707</v>
      </c>
      <c r="K23" s="15">
        <v>0.27022513138279208</v>
      </c>
    </row>
    <row r="24" spans="1:11" x14ac:dyDescent="0.3">
      <c r="A24" s="3" t="s">
        <v>708</v>
      </c>
      <c r="B24" s="15">
        <v>1990042.0500000003</v>
      </c>
      <c r="D24" s="3" t="s">
        <v>708</v>
      </c>
      <c r="E24" s="15">
        <v>615490.2300000001</v>
      </c>
      <c r="G24" s="3" t="s">
        <v>708</v>
      </c>
      <c r="H24" s="15">
        <v>27</v>
      </c>
      <c r="J24" s="3" t="s">
        <v>708</v>
      </c>
      <c r="K24" s="15">
        <v>0.30928503746943437</v>
      </c>
    </row>
    <row r="25" spans="1:11" x14ac:dyDescent="0.3">
      <c r="A25" s="3" t="s">
        <v>709</v>
      </c>
      <c r="B25" s="15">
        <v>2322720.3499999996</v>
      </c>
      <c r="D25" s="3" t="s">
        <v>709</v>
      </c>
      <c r="E25" s="15">
        <v>692905.95000000007</v>
      </c>
      <c r="G25" s="3" t="s">
        <v>709</v>
      </c>
      <c r="H25" s="15">
        <v>32</v>
      </c>
      <c r="J25" s="3" t="s">
        <v>709</v>
      </c>
      <c r="K25" s="15">
        <v>0.29831656230161335</v>
      </c>
    </row>
    <row r="26" spans="1:11" x14ac:dyDescent="0.3">
      <c r="A26" s="3" t="s">
        <v>656</v>
      </c>
      <c r="B26" s="15">
        <v>25173344.699999996</v>
      </c>
      <c r="D26" s="3" t="s">
        <v>656</v>
      </c>
      <c r="E26" s="15">
        <v>7194314.0900000008</v>
      </c>
      <c r="G26" s="3" t="s">
        <v>656</v>
      </c>
      <c r="H26" s="15">
        <v>400</v>
      </c>
      <c r="J26" s="3" t="s">
        <v>656</v>
      </c>
      <c r="K26" s="15">
        <v>0.28579094974216901</v>
      </c>
    </row>
    <row r="27" spans="1:11" x14ac:dyDescent="0.3">
      <c r="B27" s="9">
        <f>GETPIVOTDATA("Revenue",$A$13)</f>
        <v>25173344.699999996</v>
      </c>
      <c r="E27" s="9">
        <f>GETPIVOTDATA("Profit",$D$13)</f>
        <v>7194314.0900000008</v>
      </c>
      <c r="H27">
        <f>GETPIVOTDATA("Order_ID",$G$13)</f>
        <v>400</v>
      </c>
      <c r="K27" s="13">
        <f>GETPIVOTDATA("margin",$J$13)</f>
        <v>0.28579094974216901</v>
      </c>
    </row>
  </sheetData>
  <mergeCells count="1">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3B94-65D2-4FA1-9120-AA04EA2A69E9}">
  <dimension ref="A1"/>
  <sheetViews>
    <sheetView showGridLines="0" showRowColHeaders="0" tabSelected="1" zoomScale="60" zoomScaleNormal="60" workbookViewId="0">
      <selection activeCell="AB45" sqref="AB45"/>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7958-6F0F-419F-94F9-33D7798656DE}">
  <dimension ref="A4:Q21"/>
  <sheetViews>
    <sheetView workbookViewId="0">
      <selection activeCell="B5" sqref="B5"/>
    </sheetView>
  </sheetViews>
  <sheetFormatPr defaultRowHeight="14.4" x14ac:dyDescent="0.3"/>
  <cols>
    <col min="1" max="1" width="14.21875" bestFit="1" customWidth="1"/>
    <col min="2" max="2" width="14.88671875" bestFit="1" customWidth="1"/>
    <col min="3" max="3" width="12.109375" bestFit="1" customWidth="1"/>
    <col min="4" max="4" width="14.88671875" bestFit="1" customWidth="1"/>
    <col min="5" max="5" width="15.44140625" bestFit="1" customWidth="1"/>
  </cols>
  <sheetData>
    <row r="4" spans="1:13" x14ac:dyDescent="0.3">
      <c r="A4" s="2" t="s">
        <v>655</v>
      </c>
      <c r="B4" t="s">
        <v>658</v>
      </c>
    </row>
    <row r="5" spans="1:13" x14ac:dyDescent="0.3">
      <c r="A5" s="3" t="s">
        <v>43</v>
      </c>
      <c r="B5" s="15">
        <v>1751722.6000000003</v>
      </c>
      <c r="M5" s="6" t="s">
        <v>667</v>
      </c>
    </row>
    <row r="6" spans="1:13" x14ac:dyDescent="0.3">
      <c r="A6" s="3" t="s">
        <v>37</v>
      </c>
      <c r="B6" s="15">
        <v>15259485.999999996</v>
      </c>
      <c r="M6" s="6" t="s">
        <v>668</v>
      </c>
    </row>
    <row r="7" spans="1:13" x14ac:dyDescent="0.3">
      <c r="A7" s="3" t="s">
        <v>55</v>
      </c>
      <c r="B7" s="15">
        <v>5301569.2499999972</v>
      </c>
      <c r="M7" s="6" t="s">
        <v>669</v>
      </c>
    </row>
    <row r="8" spans="1:13" x14ac:dyDescent="0.3">
      <c r="A8" s="3" t="s">
        <v>22</v>
      </c>
      <c r="B8" s="15">
        <v>2860566.8499999996</v>
      </c>
      <c r="M8" s="6" t="s">
        <v>670</v>
      </c>
    </row>
    <row r="9" spans="1:13" x14ac:dyDescent="0.3">
      <c r="A9" s="3" t="s">
        <v>656</v>
      </c>
      <c r="B9" s="15">
        <v>25173344.699999996</v>
      </c>
      <c r="M9" s="6" t="s">
        <v>671</v>
      </c>
    </row>
    <row r="10" spans="1:13" x14ac:dyDescent="0.3">
      <c r="M10" s="6" t="s">
        <v>672</v>
      </c>
    </row>
    <row r="11" spans="1:13" x14ac:dyDescent="0.3">
      <c r="M11" s="6" t="s">
        <v>673</v>
      </c>
    </row>
    <row r="19" spans="14:17" x14ac:dyDescent="0.3">
      <c r="N19" s="6" t="s">
        <v>671</v>
      </c>
      <c r="Q19" s="7" t="s">
        <v>55</v>
      </c>
    </row>
    <row r="20" spans="14:17" x14ac:dyDescent="0.3">
      <c r="N20" s="6" t="s">
        <v>672</v>
      </c>
      <c r="Q20" s="7" t="s">
        <v>37</v>
      </c>
    </row>
    <row r="21" spans="14:17" x14ac:dyDescent="0.3">
      <c r="N21" s="6" t="s">
        <v>673</v>
      </c>
      <c r="Q21" s="7" t="s">
        <v>43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233D-EF77-4B47-838E-D818583D10B7}">
  <dimension ref="A4:N13"/>
  <sheetViews>
    <sheetView topLeftCell="A4" workbookViewId="0">
      <selection activeCell="A22" sqref="A22:B28"/>
    </sheetView>
  </sheetViews>
  <sheetFormatPr defaultRowHeight="14.4" x14ac:dyDescent="0.3"/>
  <cols>
    <col min="1" max="1" width="12.5546875" bestFit="1" customWidth="1"/>
    <col min="2" max="2" width="14.88671875" bestFit="1" customWidth="1"/>
    <col min="4" max="4" width="12.5546875" bestFit="1" customWidth="1"/>
    <col min="5" max="5" width="14.88671875" bestFit="1" customWidth="1"/>
    <col min="7" max="7" width="12.5546875" bestFit="1" customWidth="1"/>
    <col min="8" max="8" width="14.88671875" bestFit="1" customWidth="1"/>
    <col min="9" max="10" width="20.6640625" bestFit="1" customWidth="1"/>
  </cols>
  <sheetData>
    <row r="4" spans="1:14" x14ac:dyDescent="0.3">
      <c r="A4" s="2" t="s">
        <v>655</v>
      </c>
      <c r="B4" t="s">
        <v>658</v>
      </c>
    </row>
    <row r="5" spans="1:14" x14ac:dyDescent="0.3">
      <c r="A5" s="3" t="s">
        <v>106</v>
      </c>
      <c r="B5" s="15">
        <v>1388575.7500000002</v>
      </c>
    </row>
    <row r="6" spans="1:14" x14ac:dyDescent="0.3">
      <c r="A6" s="3" t="s">
        <v>110</v>
      </c>
      <c r="B6" s="15">
        <v>3216298.9</v>
      </c>
    </row>
    <row r="7" spans="1:14" x14ac:dyDescent="0.3">
      <c r="A7" s="3" t="s">
        <v>38</v>
      </c>
      <c r="B7" s="15">
        <v>4355107.4000000004</v>
      </c>
    </row>
    <row r="8" spans="1:14" x14ac:dyDescent="0.3">
      <c r="A8" s="3" t="s">
        <v>51</v>
      </c>
      <c r="B8" s="15">
        <v>1854419.3499999999</v>
      </c>
      <c r="N8" t="s">
        <v>675</v>
      </c>
    </row>
    <row r="9" spans="1:14" x14ac:dyDescent="0.3">
      <c r="A9" s="3" t="s">
        <v>68</v>
      </c>
      <c r="B9" s="15">
        <v>5772176.3500000006</v>
      </c>
      <c r="N9" t="s">
        <v>676</v>
      </c>
    </row>
    <row r="10" spans="1:14" x14ac:dyDescent="0.3">
      <c r="A10" s="3" t="s">
        <v>656</v>
      </c>
      <c r="B10" s="15">
        <v>16586577.75</v>
      </c>
      <c r="N10" t="s">
        <v>677</v>
      </c>
    </row>
    <row r="11" spans="1:14" x14ac:dyDescent="0.3">
      <c r="N11" t="s">
        <v>678</v>
      </c>
    </row>
    <row r="12" spans="1:14" x14ac:dyDescent="0.3">
      <c r="N12" t="s">
        <v>679</v>
      </c>
    </row>
    <row r="13" spans="1:14" x14ac:dyDescent="0.3">
      <c r="N13" t="s">
        <v>680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69B52-D3E6-42D4-A55F-FB30F7706EBD}">
  <dimension ref="A3:N12"/>
  <sheetViews>
    <sheetView zoomScale="145" zoomScaleNormal="145" workbookViewId="0">
      <selection activeCell="A5" sqref="A5"/>
    </sheetView>
  </sheetViews>
  <sheetFormatPr defaultRowHeight="14.4" x14ac:dyDescent="0.3"/>
  <cols>
    <col min="1" max="1" width="12.5546875" bestFit="1" customWidth="1"/>
    <col min="2" max="2" width="12.33203125" bestFit="1" customWidth="1"/>
    <col min="3" max="4" width="15" bestFit="1" customWidth="1"/>
    <col min="5" max="6" width="19.6640625" bestFit="1" customWidth="1"/>
    <col min="7" max="7" width="9.77734375" bestFit="1" customWidth="1"/>
    <col min="14" max="14" width="24.88671875" bestFit="1" customWidth="1"/>
  </cols>
  <sheetData>
    <row r="3" spans="1:14" x14ac:dyDescent="0.3">
      <c r="A3" s="2" t="s">
        <v>655</v>
      </c>
      <c r="B3" t="s">
        <v>657</v>
      </c>
    </row>
    <row r="4" spans="1:14" x14ac:dyDescent="0.3">
      <c r="A4" s="3" t="s">
        <v>19</v>
      </c>
      <c r="B4" s="15">
        <v>2054425.0199999996</v>
      </c>
    </row>
    <row r="5" spans="1:14" x14ac:dyDescent="0.3">
      <c r="A5" s="3" t="s">
        <v>60</v>
      </c>
      <c r="B5" s="15">
        <v>1762126.4000000006</v>
      </c>
    </row>
    <row r="6" spans="1:14" x14ac:dyDescent="0.3">
      <c r="A6" s="3" t="s">
        <v>49</v>
      </c>
      <c r="B6" s="15">
        <v>1797172.1299999997</v>
      </c>
      <c r="N6" s="6" t="s">
        <v>681</v>
      </c>
    </row>
    <row r="7" spans="1:14" x14ac:dyDescent="0.3">
      <c r="A7" s="3" t="s">
        <v>28</v>
      </c>
      <c r="B7" s="15">
        <v>1580590.5399999993</v>
      </c>
      <c r="N7" s="6" t="s">
        <v>682</v>
      </c>
    </row>
    <row r="8" spans="1:14" x14ac:dyDescent="0.3">
      <c r="A8" s="3" t="s">
        <v>656</v>
      </c>
      <c r="B8" s="15">
        <v>7194314.0899999989</v>
      </c>
      <c r="N8" s="6" t="s">
        <v>683</v>
      </c>
    </row>
    <row r="9" spans="1:14" x14ac:dyDescent="0.3">
      <c r="N9" s="6" t="s">
        <v>684</v>
      </c>
    </row>
    <row r="10" spans="1:14" x14ac:dyDescent="0.3">
      <c r="A10" s="6" t="s">
        <v>690</v>
      </c>
      <c r="N10" s="6" t="s">
        <v>685</v>
      </c>
    </row>
    <row r="11" spans="1:14" x14ac:dyDescent="0.3">
      <c r="A11" s="7" t="s">
        <v>689</v>
      </c>
      <c r="N11" s="6" t="s">
        <v>686</v>
      </c>
    </row>
    <row r="12" spans="1:14" x14ac:dyDescent="0.3">
      <c r="A12" s="3" t="s">
        <v>687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F1571-C434-4FCB-9540-5821495B763C}">
  <dimension ref="A3:C21"/>
  <sheetViews>
    <sheetView workbookViewId="0">
      <selection activeCell="J3" sqref="J3:K12"/>
    </sheetView>
  </sheetViews>
  <sheetFormatPr defaultRowHeight="14.4" x14ac:dyDescent="0.3"/>
  <cols>
    <col min="1" max="1" width="12.5546875" bestFit="1" customWidth="1"/>
    <col min="2" max="2" width="14.88671875" bestFit="1" customWidth="1"/>
    <col min="3" max="3" width="12.109375" bestFit="1" customWidth="1"/>
    <col min="4" max="4" width="14.88671875" bestFit="1" customWidth="1"/>
    <col min="5" max="5" width="12.109375" bestFit="1" customWidth="1"/>
    <col min="7" max="7" width="12.5546875" bestFit="1" customWidth="1"/>
    <col min="8" max="8" width="14.88671875" bestFit="1" customWidth="1"/>
    <col min="10" max="10" width="12.5546875" bestFit="1" customWidth="1"/>
    <col min="11" max="12" width="16.44140625" bestFit="1" customWidth="1"/>
  </cols>
  <sheetData>
    <row r="3" spans="1:3" x14ac:dyDescent="0.3">
      <c r="A3" s="2" t="s">
        <v>655</v>
      </c>
      <c r="B3" t="s">
        <v>658</v>
      </c>
      <c r="C3" t="s">
        <v>657</v>
      </c>
    </row>
    <row r="4" spans="1:3" x14ac:dyDescent="0.3">
      <c r="A4" s="3" t="s">
        <v>42</v>
      </c>
      <c r="B4" s="15">
        <v>4480470.0999999987</v>
      </c>
      <c r="C4" s="15">
        <v>1314195.3299999998</v>
      </c>
    </row>
    <row r="5" spans="1:3" x14ac:dyDescent="0.3">
      <c r="A5" s="3" t="s">
        <v>36</v>
      </c>
      <c r="B5" s="15">
        <v>3686327.0499999993</v>
      </c>
      <c r="C5" s="15">
        <v>1132752.4499999997</v>
      </c>
    </row>
    <row r="6" spans="1:3" x14ac:dyDescent="0.3">
      <c r="A6" s="3" t="s">
        <v>50</v>
      </c>
      <c r="B6" s="15">
        <v>3133472.3000000003</v>
      </c>
      <c r="C6" s="15">
        <v>920456.41999999993</v>
      </c>
    </row>
    <row r="7" spans="1:3" x14ac:dyDescent="0.3">
      <c r="A7" s="3" t="s">
        <v>21</v>
      </c>
      <c r="B7" s="15">
        <v>2668165.35</v>
      </c>
      <c r="C7" s="15">
        <v>727799.93000000017</v>
      </c>
    </row>
    <row r="8" spans="1:3" x14ac:dyDescent="0.3">
      <c r="A8" s="3" t="s">
        <v>30</v>
      </c>
      <c r="B8" s="15">
        <v>2659530</v>
      </c>
      <c r="C8" s="15">
        <v>756148.47</v>
      </c>
    </row>
    <row r="9" spans="1:3" x14ac:dyDescent="0.3">
      <c r="A9" s="3" t="s">
        <v>102</v>
      </c>
      <c r="B9" s="15">
        <v>3324417.3000000003</v>
      </c>
      <c r="C9" s="15">
        <v>943976.1100000001</v>
      </c>
    </row>
    <row r="10" spans="1:3" x14ac:dyDescent="0.3">
      <c r="A10" s="3" t="s">
        <v>109</v>
      </c>
      <c r="B10" s="15">
        <v>2462735.1</v>
      </c>
      <c r="C10" s="15">
        <v>718907.4700000002</v>
      </c>
    </row>
    <row r="11" spans="1:3" x14ac:dyDescent="0.3">
      <c r="A11" s="3" t="s">
        <v>76</v>
      </c>
      <c r="B11" s="15">
        <v>2758227.4999999995</v>
      </c>
      <c r="C11" s="15">
        <v>680077.90999999992</v>
      </c>
    </row>
    <row r="12" spans="1:3" x14ac:dyDescent="0.3">
      <c r="A12" s="3" t="s">
        <v>656</v>
      </c>
      <c r="B12" s="15">
        <v>25173344.699999999</v>
      </c>
      <c r="C12" s="15">
        <v>7194314.0899999999</v>
      </c>
    </row>
    <row r="16" spans="1:3" x14ac:dyDescent="0.3">
      <c r="A16" t="s">
        <v>691</v>
      </c>
    </row>
    <row r="17" spans="1:1" x14ac:dyDescent="0.3">
      <c r="A17" t="s">
        <v>692</v>
      </c>
    </row>
    <row r="18" spans="1:1" x14ac:dyDescent="0.3">
      <c r="A18" t="s">
        <v>695</v>
      </c>
    </row>
    <row r="19" spans="1:1" x14ac:dyDescent="0.3">
      <c r="A19" t="s">
        <v>693</v>
      </c>
    </row>
    <row r="20" spans="1:1" x14ac:dyDescent="0.3">
      <c r="A20" s="6" t="s">
        <v>696</v>
      </c>
    </row>
    <row r="21" spans="1:1" x14ac:dyDescent="0.3">
      <c r="A21" s="6" t="s">
        <v>697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7C35-440E-49DC-BB17-CBDEDA272FAB}">
  <dimension ref="A3:B36"/>
  <sheetViews>
    <sheetView zoomScale="115" zoomScaleNormal="115" workbookViewId="0">
      <selection activeCell="G3" sqref="G3:H16"/>
    </sheetView>
  </sheetViews>
  <sheetFormatPr defaultRowHeight="14.4" x14ac:dyDescent="0.3"/>
  <cols>
    <col min="1" max="1" width="12.5546875" bestFit="1" customWidth="1"/>
    <col min="2" max="2" width="14.88671875" bestFit="1" customWidth="1"/>
    <col min="4" max="4" width="12.5546875" bestFit="1" customWidth="1"/>
    <col min="5" max="6" width="12.109375" bestFit="1" customWidth="1"/>
    <col min="7" max="7" width="12.5546875" bestFit="1" customWidth="1"/>
    <col min="8" max="8" width="16.44140625" bestFit="1" customWidth="1"/>
  </cols>
  <sheetData>
    <row r="3" spans="1:2" x14ac:dyDescent="0.3">
      <c r="A3" s="2" t="s">
        <v>655</v>
      </c>
      <c r="B3" t="s">
        <v>658</v>
      </c>
    </row>
    <row r="4" spans="1:2" x14ac:dyDescent="0.3">
      <c r="A4" s="3" t="s">
        <v>698</v>
      </c>
      <c r="B4" s="15">
        <v>1703571.8499999999</v>
      </c>
    </row>
    <row r="5" spans="1:2" x14ac:dyDescent="0.3">
      <c r="A5" s="3" t="s">
        <v>699</v>
      </c>
      <c r="B5" s="15">
        <v>2374438.7999999993</v>
      </c>
    </row>
    <row r="6" spans="1:2" x14ac:dyDescent="0.3">
      <c r="A6" s="3" t="s">
        <v>700</v>
      </c>
      <c r="B6" s="15">
        <v>858904.15</v>
      </c>
    </row>
    <row r="7" spans="1:2" x14ac:dyDescent="0.3">
      <c r="A7" s="3" t="s">
        <v>701</v>
      </c>
      <c r="B7" s="15">
        <v>1214084.3499999999</v>
      </c>
    </row>
    <row r="8" spans="1:2" x14ac:dyDescent="0.3">
      <c r="A8" s="3" t="s">
        <v>702</v>
      </c>
      <c r="B8" s="15">
        <v>2811452.3499999996</v>
      </c>
    </row>
    <row r="9" spans="1:2" x14ac:dyDescent="0.3">
      <c r="A9" s="3" t="s">
        <v>703</v>
      </c>
      <c r="B9" s="15">
        <v>2498378.6499999994</v>
      </c>
    </row>
    <row r="10" spans="1:2" x14ac:dyDescent="0.3">
      <c r="A10" s="3" t="s">
        <v>704</v>
      </c>
      <c r="B10" s="15">
        <v>1982858.5</v>
      </c>
    </row>
    <row r="11" spans="1:2" x14ac:dyDescent="0.3">
      <c r="A11" s="3" t="s">
        <v>705</v>
      </c>
      <c r="B11" s="15">
        <v>2455951.4999999995</v>
      </c>
    </row>
    <row r="12" spans="1:2" x14ac:dyDescent="0.3">
      <c r="A12" s="3" t="s">
        <v>706</v>
      </c>
      <c r="B12" s="15">
        <v>2170156.2000000002</v>
      </c>
    </row>
    <row r="13" spans="1:2" x14ac:dyDescent="0.3">
      <c r="A13" s="3" t="s">
        <v>707</v>
      </c>
      <c r="B13" s="15">
        <v>2790785.9499999997</v>
      </c>
    </row>
    <row r="14" spans="1:2" x14ac:dyDescent="0.3">
      <c r="A14" s="3" t="s">
        <v>708</v>
      </c>
      <c r="B14" s="15">
        <v>1990042.0500000003</v>
      </c>
    </row>
    <row r="15" spans="1:2" x14ac:dyDescent="0.3">
      <c r="A15" s="3" t="s">
        <v>709</v>
      </c>
      <c r="B15" s="15">
        <v>2322720.3499999996</v>
      </c>
    </row>
    <row r="16" spans="1:2" x14ac:dyDescent="0.3">
      <c r="A16" s="3" t="s">
        <v>656</v>
      </c>
      <c r="B16" s="15">
        <v>25173344.699999996</v>
      </c>
    </row>
    <row r="31" spans="1:1" x14ac:dyDescent="0.3">
      <c r="A31" t="s">
        <v>711</v>
      </c>
    </row>
    <row r="32" spans="1:1" x14ac:dyDescent="0.3">
      <c r="A32" t="s">
        <v>712</v>
      </c>
    </row>
    <row r="33" spans="1:1" x14ac:dyDescent="0.3">
      <c r="A33" t="s">
        <v>713</v>
      </c>
    </row>
    <row r="34" spans="1:1" x14ac:dyDescent="0.3">
      <c r="A34" t="s">
        <v>714</v>
      </c>
    </row>
    <row r="35" spans="1:1" x14ac:dyDescent="0.3">
      <c r="A35" t="s">
        <v>715</v>
      </c>
    </row>
    <row r="36" spans="1:1" x14ac:dyDescent="0.3">
      <c r="A36" t="s">
        <v>710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65B61-2F30-40F9-89E7-7944425EEDE5}">
  <dimension ref="A3:Q25"/>
  <sheetViews>
    <sheetView zoomScale="85" zoomScaleNormal="85" workbookViewId="0">
      <selection activeCell="J3" sqref="J3:K9"/>
    </sheetView>
  </sheetViews>
  <sheetFormatPr defaultRowHeight="14.4" x14ac:dyDescent="0.3"/>
  <cols>
    <col min="1" max="1" width="42.5546875" customWidth="1"/>
    <col min="2" max="2" width="14.88671875" bestFit="1" customWidth="1"/>
    <col min="4" max="4" width="12.5546875" bestFit="1" customWidth="1"/>
    <col min="5" max="5" width="15.6640625" customWidth="1"/>
    <col min="7" max="7" width="12.5546875" bestFit="1" customWidth="1"/>
    <col min="8" max="8" width="16.44140625" bestFit="1" customWidth="1"/>
    <col min="10" max="10" width="12.5546875" bestFit="1" customWidth="1"/>
    <col min="11" max="11" width="16.44140625" bestFit="1" customWidth="1"/>
    <col min="13" max="13" width="12.88671875" bestFit="1" customWidth="1"/>
    <col min="14" max="14" width="14.88671875" bestFit="1" customWidth="1"/>
    <col min="15" max="15" width="16.44140625" bestFit="1" customWidth="1"/>
  </cols>
  <sheetData>
    <row r="3" spans="1:17" x14ac:dyDescent="0.3">
      <c r="D3" s="2" t="s">
        <v>655</v>
      </c>
      <c r="E3" t="s">
        <v>657</v>
      </c>
    </row>
    <row r="4" spans="1:17" x14ac:dyDescent="0.3">
      <c r="D4" s="3" t="s">
        <v>323</v>
      </c>
      <c r="E4" s="15">
        <v>322524.20999999996</v>
      </c>
      <c r="Q4" t="e">
        <f>GETPIVOTDATA("Sum of Revenue",$M$3,"Customer_Name","Customer_1")/GETPIVOTDATA("Count of Order_ID",$M$3,"Customer_Name","Customer_1")</f>
        <v>#REF!</v>
      </c>
    </row>
    <row r="5" spans="1:17" x14ac:dyDescent="0.3">
      <c r="D5" s="3" t="s">
        <v>156</v>
      </c>
      <c r="E5" s="15">
        <v>211991.34000000003</v>
      </c>
    </row>
    <row r="6" spans="1:17" x14ac:dyDescent="0.3">
      <c r="D6" s="3" t="s">
        <v>454</v>
      </c>
      <c r="E6" s="15">
        <v>178423.25</v>
      </c>
    </row>
    <row r="7" spans="1:17" x14ac:dyDescent="0.3">
      <c r="D7" s="3" t="s">
        <v>339</v>
      </c>
      <c r="E7" s="15">
        <v>285716.06</v>
      </c>
    </row>
    <row r="8" spans="1:17" x14ac:dyDescent="0.3">
      <c r="D8" s="3" t="s">
        <v>75</v>
      </c>
      <c r="E8" s="15">
        <v>254149.25</v>
      </c>
    </row>
    <row r="9" spans="1:17" x14ac:dyDescent="0.3">
      <c r="D9" s="3" t="s">
        <v>656</v>
      </c>
      <c r="E9" s="15">
        <v>1252804.1100000001</v>
      </c>
    </row>
    <row r="10" spans="1:17" x14ac:dyDescent="0.3">
      <c r="A10" s="3" t="s">
        <v>736</v>
      </c>
    </row>
    <row r="14" spans="1:17" ht="72" x14ac:dyDescent="0.3">
      <c r="A14" s="8" t="s">
        <v>718</v>
      </c>
    </row>
    <row r="16" spans="1:17" ht="72" x14ac:dyDescent="0.3">
      <c r="A16" s="8" t="s">
        <v>719</v>
      </c>
    </row>
    <row r="17" spans="1:1" ht="72" x14ac:dyDescent="0.3">
      <c r="A17" s="8" t="s">
        <v>720</v>
      </c>
    </row>
    <row r="18" spans="1:1" ht="72" x14ac:dyDescent="0.3">
      <c r="A18" s="8" t="s">
        <v>721</v>
      </c>
    </row>
    <row r="19" spans="1:1" x14ac:dyDescent="0.3">
      <c r="A19" s="6" t="s">
        <v>716</v>
      </c>
    </row>
    <row r="20" spans="1:1" x14ac:dyDescent="0.3">
      <c r="A20" s="6" t="s">
        <v>717</v>
      </c>
    </row>
    <row r="25" spans="1:1" ht="13.8" customHeight="1" x14ac:dyDescent="0.3"/>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3F8E9-7FCB-4E1A-889E-777608F3FECB}">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C52F-C4A7-4F9E-AF31-9F0538F7EE6E}">
  <dimension ref="A3:F18"/>
  <sheetViews>
    <sheetView topLeftCell="E1" workbookViewId="0">
      <selection activeCell="K3" sqref="K3:L6"/>
    </sheetView>
  </sheetViews>
  <sheetFormatPr defaultRowHeight="14.4" x14ac:dyDescent="0.3"/>
  <cols>
    <col min="1" max="1" width="32.5546875" bestFit="1" customWidth="1"/>
    <col min="2" max="2" width="14" customWidth="1"/>
    <col min="3" max="3" width="12.21875" customWidth="1"/>
    <col min="4" max="5" width="12.5546875" bestFit="1" customWidth="1"/>
    <col min="6" max="6" width="12.109375" bestFit="1" customWidth="1"/>
    <col min="7" max="7" width="12.109375" customWidth="1"/>
    <col min="8" max="8" width="12.5546875" bestFit="1" customWidth="1"/>
    <col min="9" max="9" width="16.44140625" bestFit="1" customWidth="1"/>
    <col min="11" max="11" width="12.5546875" bestFit="1" customWidth="1"/>
    <col min="12" max="13" width="14.88671875" bestFit="1" customWidth="1"/>
  </cols>
  <sheetData>
    <row r="3" spans="1:6" x14ac:dyDescent="0.3">
      <c r="E3" s="2" t="s">
        <v>655</v>
      </c>
      <c r="F3" t="s">
        <v>657</v>
      </c>
    </row>
    <row r="4" spans="1:6" x14ac:dyDescent="0.3">
      <c r="E4" s="3" t="s">
        <v>20</v>
      </c>
      <c r="F4" s="15">
        <v>4016681.5600000019</v>
      </c>
    </row>
    <row r="5" spans="1:6" x14ac:dyDescent="0.3">
      <c r="E5" s="3" t="s">
        <v>29</v>
      </c>
      <c r="F5" s="15">
        <v>3177632.5300000003</v>
      </c>
    </row>
    <row r="6" spans="1:6" x14ac:dyDescent="0.3">
      <c r="E6" s="3" t="s">
        <v>656</v>
      </c>
      <c r="F6" s="15">
        <v>7194314.0900000017</v>
      </c>
    </row>
    <row r="7" spans="1:6" x14ac:dyDescent="0.3">
      <c r="A7" s="4" t="e">
        <f>GETPIVOTDATA("Sum of Revenue",$A$3,"Sales_Channel","Online")/GETPIVOTDATA("Sum of Revenue",$A$3)</f>
        <v>#REF!</v>
      </c>
    </row>
    <row r="9" spans="1:6" x14ac:dyDescent="0.3">
      <c r="A9" s="6" t="s">
        <v>722</v>
      </c>
    </row>
    <row r="10" spans="1:6" x14ac:dyDescent="0.3">
      <c r="A10" s="6" t="s">
        <v>723</v>
      </c>
    </row>
    <row r="11" spans="1:6" x14ac:dyDescent="0.3">
      <c r="A11" s="6" t="s">
        <v>724</v>
      </c>
    </row>
    <row r="12" spans="1:6" x14ac:dyDescent="0.3">
      <c r="A12" s="6" t="s">
        <v>725</v>
      </c>
    </row>
    <row r="13" spans="1:6" x14ac:dyDescent="0.3">
      <c r="A13" s="6" t="s">
        <v>726</v>
      </c>
    </row>
    <row r="14" spans="1:6" x14ac:dyDescent="0.3">
      <c r="A14" t="s">
        <v>727</v>
      </c>
    </row>
    <row r="16" spans="1:6" x14ac:dyDescent="0.3">
      <c r="A16" s="6" t="s">
        <v>728</v>
      </c>
    </row>
    <row r="17" spans="1:1" x14ac:dyDescent="0.3">
      <c r="A17" s="6" t="s">
        <v>729</v>
      </c>
    </row>
    <row r="18" spans="1:1" x14ac:dyDescent="0.3">
      <c r="A18" s="6" t="s">
        <v>730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960D-5A7F-4DD1-99E4-EB54027AEA62}">
  <dimension ref="A3:C27"/>
  <sheetViews>
    <sheetView topLeftCell="A13" workbookViewId="0">
      <selection activeCell="B27" sqref="B27"/>
    </sheetView>
  </sheetViews>
  <sheetFormatPr defaultRowHeight="14.4" x14ac:dyDescent="0.3"/>
  <cols>
    <col min="1" max="1" width="91.21875" bestFit="1" customWidth="1"/>
    <col min="2" max="2" width="61.21875" bestFit="1" customWidth="1"/>
    <col min="3" max="3" width="14.88671875" bestFit="1" customWidth="1"/>
  </cols>
  <sheetData>
    <row r="3" spans="1:3" x14ac:dyDescent="0.3">
      <c r="A3" s="2" t="s">
        <v>655</v>
      </c>
      <c r="B3" t="s">
        <v>658</v>
      </c>
      <c r="C3" t="s">
        <v>674</v>
      </c>
    </row>
    <row r="4" spans="1:3" x14ac:dyDescent="0.3">
      <c r="A4" s="3" t="s">
        <v>702</v>
      </c>
      <c r="B4" s="15">
        <v>2811452.3499999996</v>
      </c>
      <c r="C4" s="4">
        <v>0.29777418422190216</v>
      </c>
    </row>
    <row r="5" spans="1:3" x14ac:dyDescent="0.3">
      <c r="A5" s="3" t="s">
        <v>656</v>
      </c>
      <c r="B5" s="15">
        <v>2811452.3499999996</v>
      </c>
      <c r="C5" s="4">
        <v>0.29777418422190216</v>
      </c>
    </row>
    <row r="23" spans="1:2" x14ac:dyDescent="0.3">
      <c r="A23" s="6" t="s">
        <v>733</v>
      </c>
      <c r="B23" s="6" t="s">
        <v>737</v>
      </c>
    </row>
    <row r="24" spans="1:2" x14ac:dyDescent="0.3">
      <c r="A24" s="6" t="s">
        <v>732</v>
      </c>
      <c r="B24" s="6" t="s">
        <v>738</v>
      </c>
    </row>
    <row r="25" spans="1:2" x14ac:dyDescent="0.3">
      <c r="A25" s="6" t="s">
        <v>734</v>
      </c>
      <c r="B25" s="6" t="s">
        <v>739</v>
      </c>
    </row>
    <row r="26" spans="1:2" x14ac:dyDescent="0.3">
      <c r="A26" s="6" t="s">
        <v>735</v>
      </c>
      <c r="B26" s="6" t="s">
        <v>740</v>
      </c>
    </row>
    <row r="27" spans="1:2" x14ac:dyDescent="0.3">
      <c r="A27" s="6" t="s">
        <v>731</v>
      </c>
      <c r="B27" s="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01"/>
  <sheetViews>
    <sheetView topLeftCell="A2" zoomScale="145" zoomScaleNormal="145" workbookViewId="0">
      <selection activeCell="D9" sqref="D9"/>
    </sheetView>
  </sheetViews>
  <sheetFormatPr defaultRowHeight="14.4" x14ac:dyDescent="0.3"/>
  <cols>
    <col min="1" max="1" width="10.44140625" customWidth="1"/>
    <col min="2" max="2" width="18.109375" style="1" bestFit="1" customWidth="1"/>
    <col min="3" max="3" width="13.77734375" customWidth="1"/>
    <col min="4" max="4" width="17" customWidth="1"/>
    <col min="7" max="7" width="15" customWidth="1"/>
    <col min="8" max="8" width="12.88671875" customWidth="1"/>
    <col min="9" max="9" width="14.21875" bestFit="1" customWidth="1"/>
    <col min="10" max="10" width="9.5546875" customWidth="1"/>
    <col min="11" max="11" width="10.21875" customWidth="1"/>
    <col min="12" max="12" width="11.5546875" customWidth="1"/>
    <col min="13" max="14" width="10.21875" customWidth="1"/>
    <col min="15" max="15" width="9.109375" customWidth="1"/>
    <col min="17" max="17" width="16.44140625" customWidth="1"/>
    <col min="18" max="18" width="17.33203125" customWidth="1"/>
    <col min="20" max="20" width="12.88671875" customWidth="1"/>
  </cols>
  <sheetData>
    <row r="1" spans="1:18" x14ac:dyDescent="0.3">
      <c r="A1" t="s">
        <v>0</v>
      </c>
      <c r="B1" s="1" t="s">
        <v>1</v>
      </c>
      <c r="C1" t="s">
        <v>2</v>
      </c>
      <c r="D1" t="s">
        <v>3</v>
      </c>
      <c r="E1" t="s">
        <v>4</v>
      </c>
      <c r="F1" t="s">
        <v>5</v>
      </c>
      <c r="G1" t="s">
        <v>694</v>
      </c>
      <c r="H1" t="s">
        <v>6</v>
      </c>
      <c r="I1" t="s">
        <v>7</v>
      </c>
      <c r="J1" t="s">
        <v>8</v>
      </c>
      <c r="K1" t="s">
        <v>9</v>
      </c>
      <c r="L1" t="s">
        <v>10</v>
      </c>
      <c r="M1" t="s">
        <v>11</v>
      </c>
      <c r="N1" t="s">
        <v>12</v>
      </c>
      <c r="O1" t="s">
        <v>13</v>
      </c>
      <c r="P1" t="s">
        <v>14</v>
      </c>
      <c r="Q1" t="s">
        <v>15</v>
      </c>
      <c r="R1" t="s">
        <v>741</v>
      </c>
    </row>
    <row r="2" spans="1:18" x14ac:dyDescent="0.3">
      <c r="A2" t="s">
        <v>16</v>
      </c>
      <c r="B2" s="1">
        <v>45779</v>
      </c>
      <c r="C2" t="s">
        <v>17</v>
      </c>
      <c r="D2" t="s">
        <v>18</v>
      </c>
      <c r="E2" t="s">
        <v>19</v>
      </c>
      <c r="F2" t="s">
        <v>20</v>
      </c>
      <c r="G2" t="s">
        <v>21</v>
      </c>
      <c r="H2" t="s">
        <v>22</v>
      </c>
      <c r="I2" t="s">
        <v>23</v>
      </c>
      <c r="J2">
        <v>7</v>
      </c>
      <c r="K2">
        <v>11060</v>
      </c>
      <c r="L2">
        <v>0.2</v>
      </c>
      <c r="M2">
        <v>61936</v>
      </c>
      <c r="N2">
        <v>46263.75</v>
      </c>
      <c r="O2">
        <v>15672.25</v>
      </c>
      <c r="P2" t="s">
        <v>24</v>
      </c>
      <c r="Q2">
        <v>4</v>
      </c>
      <c r="R2" t="b">
        <f>ISBLANK(Table1[[#This Row],[Region]])</f>
        <v>0</v>
      </c>
    </row>
    <row r="3" spans="1:18" x14ac:dyDescent="0.3">
      <c r="A3" t="s">
        <v>25</v>
      </c>
      <c r="B3" s="1">
        <v>45849</v>
      </c>
      <c r="C3" t="s">
        <v>26</v>
      </c>
      <c r="D3" t="s">
        <v>27</v>
      </c>
      <c r="E3" t="s">
        <v>28</v>
      </c>
      <c r="F3" t="s">
        <v>29</v>
      </c>
      <c r="G3" t="s">
        <v>30</v>
      </c>
      <c r="H3" t="s">
        <v>22</v>
      </c>
      <c r="I3" t="s">
        <v>31</v>
      </c>
      <c r="J3">
        <v>6</v>
      </c>
      <c r="K3">
        <v>1129</v>
      </c>
      <c r="L3">
        <v>0.15</v>
      </c>
      <c r="M3">
        <v>5757.9</v>
      </c>
      <c r="N3">
        <v>4950.2</v>
      </c>
      <c r="O3">
        <v>807.7</v>
      </c>
      <c r="P3" t="s">
        <v>32</v>
      </c>
      <c r="Q3">
        <v>5</v>
      </c>
      <c r="R3" t="b">
        <f>ISBLANK(Table1[[#This Row],[Region]])</f>
        <v>0</v>
      </c>
    </row>
    <row r="4" spans="1:18" x14ac:dyDescent="0.3">
      <c r="A4" t="s">
        <v>33</v>
      </c>
      <c r="B4" s="1">
        <v>45845</v>
      </c>
      <c r="C4" t="s">
        <v>34</v>
      </c>
      <c r="D4" t="s">
        <v>35</v>
      </c>
      <c r="E4" t="s">
        <v>28</v>
      </c>
      <c r="F4" t="s">
        <v>29</v>
      </c>
      <c r="G4" t="s">
        <v>36</v>
      </c>
      <c r="H4" t="s">
        <v>37</v>
      </c>
      <c r="I4" t="s">
        <v>38</v>
      </c>
      <c r="J4">
        <v>3</v>
      </c>
      <c r="K4">
        <v>46199</v>
      </c>
      <c r="L4">
        <v>0.05</v>
      </c>
      <c r="M4">
        <v>131667.15</v>
      </c>
      <c r="N4">
        <v>74444.56</v>
      </c>
      <c r="O4">
        <v>57222.59</v>
      </c>
      <c r="P4" t="s">
        <v>32</v>
      </c>
      <c r="Q4">
        <v>3</v>
      </c>
      <c r="R4" t="b">
        <f>ISBLANK(Table1[[#This Row],[Region]])</f>
        <v>0</v>
      </c>
    </row>
    <row r="5" spans="1:18" x14ac:dyDescent="0.3">
      <c r="A5" t="s">
        <v>39</v>
      </c>
      <c r="B5" s="1">
        <v>45678</v>
      </c>
      <c r="C5" t="s">
        <v>40</v>
      </c>
      <c r="D5" t="s">
        <v>41</v>
      </c>
      <c r="E5" t="s">
        <v>28</v>
      </c>
      <c r="F5" t="s">
        <v>29</v>
      </c>
      <c r="G5" t="s">
        <v>42</v>
      </c>
      <c r="H5" t="s">
        <v>43</v>
      </c>
      <c r="I5" t="s">
        <v>44</v>
      </c>
      <c r="J5">
        <v>8</v>
      </c>
      <c r="K5">
        <v>3947</v>
      </c>
      <c r="L5">
        <v>0.2</v>
      </c>
      <c r="M5">
        <v>25260.799999999999</v>
      </c>
      <c r="N5">
        <v>18957.97</v>
      </c>
      <c r="O5">
        <v>6302.83</v>
      </c>
      <c r="P5" t="s">
        <v>45</v>
      </c>
      <c r="Q5">
        <v>2</v>
      </c>
      <c r="R5" t="b">
        <f>ISBLANK(Table1[[#This Row],[Region]])</f>
        <v>0</v>
      </c>
    </row>
    <row r="6" spans="1:18" x14ac:dyDescent="0.3">
      <c r="A6" t="s">
        <v>46</v>
      </c>
      <c r="B6" s="1">
        <v>45921</v>
      </c>
      <c r="C6" t="s">
        <v>47</v>
      </c>
      <c r="D6" t="s">
        <v>48</v>
      </c>
      <c r="E6" t="s">
        <v>49</v>
      </c>
      <c r="F6" t="s">
        <v>20</v>
      </c>
      <c r="G6" t="s">
        <v>50</v>
      </c>
      <c r="H6" t="s">
        <v>37</v>
      </c>
      <c r="I6" t="s">
        <v>51</v>
      </c>
      <c r="J6">
        <v>5</v>
      </c>
      <c r="K6">
        <v>17932</v>
      </c>
      <c r="L6">
        <v>0.15</v>
      </c>
      <c r="M6">
        <v>76211</v>
      </c>
      <c r="N6">
        <v>52985.72</v>
      </c>
      <c r="O6">
        <v>23225.279999999999</v>
      </c>
      <c r="P6" t="s">
        <v>32</v>
      </c>
      <c r="Q6">
        <v>4</v>
      </c>
      <c r="R6" t="b">
        <f>ISBLANK(Table1[[#This Row],[Region]])</f>
        <v>0</v>
      </c>
    </row>
    <row r="7" spans="1:18" x14ac:dyDescent="0.3">
      <c r="A7" t="s">
        <v>52</v>
      </c>
      <c r="B7" s="1">
        <v>45875</v>
      </c>
      <c r="C7" t="s">
        <v>53</v>
      </c>
      <c r="D7" t="s">
        <v>54</v>
      </c>
      <c r="E7" t="s">
        <v>49</v>
      </c>
      <c r="F7" t="s">
        <v>29</v>
      </c>
      <c r="G7" t="s">
        <v>50</v>
      </c>
      <c r="H7" t="s">
        <v>55</v>
      </c>
      <c r="I7" t="s">
        <v>56</v>
      </c>
      <c r="J7">
        <v>6</v>
      </c>
      <c r="K7">
        <v>13894</v>
      </c>
      <c r="L7">
        <v>0.25</v>
      </c>
      <c r="M7">
        <v>62523</v>
      </c>
      <c r="N7">
        <v>35033.72</v>
      </c>
      <c r="O7">
        <v>27489.279999999999</v>
      </c>
      <c r="P7" t="s">
        <v>32</v>
      </c>
      <c r="Q7">
        <v>4</v>
      </c>
      <c r="R7" t="b">
        <f>ISBLANK(Table1[[#This Row],[Region]])</f>
        <v>0</v>
      </c>
    </row>
    <row r="8" spans="1:18" x14ac:dyDescent="0.3">
      <c r="A8" t="s">
        <v>57</v>
      </c>
      <c r="B8" s="1">
        <v>45937</v>
      </c>
      <c r="C8" t="s">
        <v>58</v>
      </c>
      <c r="D8" t="s">
        <v>59</v>
      </c>
      <c r="E8" t="s">
        <v>60</v>
      </c>
      <c r="F8" t="s">
        <v>29</v>
      </c>
      <c r="G8" t="s">
        <v>50</v>
      </c>
      <c r="H8" t="s">
        <v>55</v>
      </c>
      <c r="I8" t="s">
        <v>61</v>
      </c>
      <c r="J8">
        <v>5</v>
      </c>
      <c r="K8">
        <v>10023</v>
      </c>
      <c r="L8">
        <v>0.05</v>
      </c>
      <c r="M8">
        <v>47609.25</v>
      </c>
      <c r="N8">
        <v>34664.22</v>
      </c>
      <c r="O8">
        <v>12945.03</v>
      </c>
      <c r="P8" t="s">
        <v>24</v>
      </c>
      <c r="Q8">
        <v>1</v>
      </c>
      <c r="R8" t="b">
        <f>ISBLANK(Table1[[#This Row],[Region]])</f>
        <v>0</v>
      </c>
    </row>
    <row r="9" spans="1:18" x14ac:dyDescent="0.3">
      <c r="A9" t="s">
        <v>62</v>
      </c>
      <c r="B9" s="1">
        <v>45793</v>
      </c>
      <c r="C9" t="s">
        <v>63</v>
      </c>
      <c r="D9" t="s">
        <v>64</v>
      </c>
      <c r="E9" t="s">
        <v>60</v>
      </c>
      <c r="F9" t="s">
        <v>20</v>
      </c>
      <c r="G9" t="s">
        <v>42</v>
      </c>
      <c r="H9" t="s">
        <v>43</v>
      </c>
      <c r="I9" t="s">
        <v>65</v>
      </c>
      <c r="J9">
        <v>1</v>
      </c>
      <c r="K9">
        <v>519</v>
      </c>
      <c r="L9">
        <v>0</v>
      </c>
      <c r="M9">
        <v>519</v>
      </c>
      <c r="N9">
        <v>417.71</v>
      </c>
      <c r="O9">
        <v>101.29</v>
      </c>
      <c r="P9" t="s">
        <v>45</v>
      </c>
      <c r="Q9">
        <v>3</v>
      </c>
      <c r="R9" t="b">
        <f>ISBLANK(Table1[[#This Row],[Region]])</f>
        <v>0</v>
      </c>
    </row>
    <row r="10" spans="1:18" x14ac:dyDescent="0.3">
      <c r="A10" t="s">
        <v>66</v>
      </c>
      <c r="B10" s="1">
        <v>45792</v>
      </c>
      <c r="C10" t="s">
        <v>40</v>
      </c>
      <c r="D10" t="s">
        <v>67</v>
      </c>
      <c r="E10" t="s">
        <v>19</v>
      </c>
      <c r="F10" t="s">
        <v>29</v>
      </c>
      <c r="G10" t="s">
        <v>42</v>
      </c>
      <c r="H10" t="s">
        <v>37</v>
      </c>
      <c r="I10" t="s">
        <v>68</v>
      </c>
      <c r="J10">
        <v>5</v>
      </c>
      <c r="K10">
        <v>69532</v>
      </c>
      <c r="L10">
        <v>0.05</v>
      </c>
      <c r="M10">
        <v>330277</v>
      </c>
      <c r="N10">
        <v>194281.08</v>
      </c>
      <c r="O10">
        <v>135995.92000000001</v>
      </c>
      <c r="P10" t="s">
        <v>45</v>
      </c>
      <c r="Q10">
        <v>5</v>
      </c>
      <c r="R10" t="b">
        <f>ISBLANK(Table1[[#This Row],[Region]])</f>
        <v>0</v>
      </c>
    </row>
    <row r="11" spans="1:18" x14ac:dyDescent="0.3">
      <c r="A11" t="s">
        <v>69</v>
      </c>
      <c r="B11" s="1">
        <v>45788</v>
      </c>
      <c r="C11" t="s">
        <v>70</v>
      </c>
      <c r="D11" t="s">
        <v>71</v>
      </c>
      <c r="E11" t="s">
        <v>19</v>
      </c>
      <c r="F11" t="s">
        <v>20</v>
      </c>
      <c r="G11" t="s">
        <v>36</v>
      </c>
      <c r="H11" t="s">
        <v>22</v>
      </c>
      <c r="I11" t="s">
        <v>72</v>
      </c>
      <c r="J11">
        <v>6</v>
      </c>
      <c r="K11">
        <v>13342</v>
      </c>
      <c r="L11">
        <v>0</v>
      </c>
      <c r="M11">
        <v>80052</v>
      </c>
      <c r="N11">
        <v>54144.44</v>
      </c>
      <c r="O11">
        <v>25907.56</v>
      </c>
      <c r="P11" t="s">
        <v>32</v>
      </c>
      <c r="Q11">
        <v>3</v>
      </c>
      <c r="R11" t="b">
        <f>ISBLANK(Table1[[#This Row],[Region]])</f>
        <v>0</v>
      </c>
    </row>
    <row r="12" spans="1:18" x14ac:dyDescent="0.3">
      <c r="A12" t="s">
        <v>73</v>
      </c>
      <c r="B12" s="1">
        <v>46009</v>
      </c>
      <c r="C12" t="s">
        <v>74</v>
      </c>
      <c r="D12" t="s">
        <v>75</v>
      </c>
      <c r="E12" t="s">
        <v>60</v>
      </c>
      <c r="F12" t="s">
        <v>29</v>
      </c>
      <c r="G12" t="s">
        <v>76</v>
      </c>
      <c r="H12" t="s">
        <v>43</v>
      </c>
      <c r="I12" t="s">
        <v>77</v>
      </c>
      <c r="J12">
        <v>2</v>
      </c>
      <c r="K12">
        <v>593</v>
      </c>
      <c r="L12">
        <v>0.2</v>
      </c>
      <c r="M12">
        <v>948.8</v>
      </c>
      <c r="N12">
        <v>585</v>
      </c>
      <c r="O12">
        <v>363.8</v>
      </c>
      <c r="P12" t="s">
        <v>78</v>
      </c>
      <c r="Q12">
        <v>5</v>
      </c>
      <c r="R12" t="b">
        <f>ISBLANK(Table1[[#This Row],[Region]])</f>
        <v>0</v>
      </c>
    </row>
    <row r="13" spans="1:18" x14ac:dyDescent="0.3">
      <c r="A13" t="s">
        <v>79</v>
      </c>
      <c r="B13" s="1">
        <v>45941</v>
      </c>
      <c r="C13" t="s">
        <v>80</v>
      </c>
      <c r="D13" t="s">
        <v>81</v>
      </c>
      <c r="E13" t="s">
        <v>19</v>
      </c>
      <c r="F13" t="s">
        <v>29</v>
      </c>
      <c r="G13" t="s">
        <v>42</v>
      </c>
      <c r="H13" t="s">
        <v>43</v>
      </c>
      <c r="I13" t="s">
        <v>65</v>
      </c>
      <c r="J13">
        <v>4</v>
      </c>
      <c r="K13">
        <v>7566</v>
      </c>
      <c r="L13">
        <v>0.1</v>
      </c>
      <c r="M13">
        <v>27237.599999999999</v>
      </c>
      <c r="N13">
        <v>21225.69</v>
      </c>
      <c r="O13">
        <v>6011.91</v>
      </c>
      <c r="P13" t="s">
        <v>24</v>
      </c>
      <c r="Q13">
        <v>4</v>
      </c>
      <c r="R13" t="b">
        <f>ISBLANK(Table1[[#This Row],[Region]])</f>
        <v>0</v>
      </c>
    </row>
    <row r="14" spans="1:18" x14ac:dyDescent="0.3">
      <c r="A14" t="s">
        <v>82</v>
      </c>
      <c r="B14" s="1">
        <v>46005</v>
      </c>
      <c r="C14" t="s">
        <v>83</v>
      </c>
      <c r="D14" t="s">
        <v>84</v>
      </c>
      <c r="E14" t="s">
        <v>28</v>
      </c>
      <c r="F14" t="s">
        <v>20</v>
      </c>
      <c r="G14" t="s">
        <v>42</v>
      </c>
      <c r="H14" t="s">
        <v>22</v>
      </c>
      <c r="I14" t="s">
        <v>72</v>
      </c>
      <c r="J14">
        <v>4</v>
      </c>
      <c r="K14">
        <v>13421</v>
      </c>
      <c r="L14">
        <v>0.1</v>
      </c>
      <c r="M14">
        <v>48315.6</v>
      </c>
      <c r="N14">
        <v>31744.99</v>
      </c>
      <c r="O14">
        <v>16570.61</v>
      </c>
      <c r="P14" t="s">
        <v>78</v>
      </c>
      <c r="Q14">
        <v>1</v>
      </c>
      <c r="R14" t="b">
        <f>ISBLANK(Table1[[#This Row],[Region]])</f>
        <v>0</v>
      </c>
    </row>
    <row r="15" spans="1:18" x14ac:dyDescent="0.3">
      <c r="A15" t="s">
        <v>85</v>
      </c>
      <c r="B15" s="1">
        <v>45822</v>
      </c>
      <c r="C15" t="s">
        <v>86</v>
      </c>
      <c r="D15" t="s">
        <v>87</v>
      </c>
      <c r="E15" t="s">
        <v>28</v>
      </c>
      <c r="F15" t="s">
        <v>29</v>
      </c>
      <c r="G15" t="s">
        <v>21</v>
      </c>
      <c r="H15" t="s">
        <v>37</v>
      </c>
      <c r="I15" t="s">
        <v>38</v>
      </c>
      <c r="J15">
        <v>3</v>
      </c>
      <c r="K15">
        <v>1316</v>
      </c>
      <c r="L15">
        <v>0.1</v>
      </c>
      <c r="M15">
        <v>3553.2</v>
      </c>
      <c r="N15">
        <v>2443.6999999999998</v>
      </c>
      <c r="O15">
        <v>1109.5</v>
      </c>
      <c r="P15" t="s">
        <v>78</v>
      </c>
      <c r="Q15">
        <v>3</v>
      </c>
      <c r="R15" t="b">
        <f>ISBLANK(Table1[[#This Row],[Region]])</f>
        <v>0</v>
      </c>
    </row>
    <row r="16" spans="1:18" x14ac:dyDescent="0.3">
      <c r="A16" t="s">
        <v>88</v>
      </c>
      <c r="B16" s="1">
        <v>45709</v>
      </c>
      <c r="C16" t="s">
        <v>89</v>
      </c>
      <c r="D16" t="s">
        <v>41</v>
      </c>
      <c r="E16" t="s">
        <v>49</v>
      </c>
      <c r="F16" t="s">
        <v>20</v>
      </c>
      <c r="G16" t="s">
        <v>42</v>
      </c>
      <c r="H16" t="s">
        <v>22</v>
      </c>
      <c r="I16" t="s">
        <v>72</v>
      </c>
      <c r="J16">
        <v>8</v>
      </c>
      <c r="K16">
        <v>10634</v>
      </c>
      <c r="L16">
        <v>0</v>
      </c>
      <c r="M16">
        <v>85072</v>
      </c>
      <c r="N16">
        <v>48611.37</v>
      </c>
      <c r="O16">
        <v>36460.629999999997</v>
      </c>
      <c r="P16" t="s">
        <v>24</v>
      </c>
      <c r="Q16">
        <v>1</v>
      </c>
      <c r="R16" t="b">
        <f>ISBLANK(Table1[[#This Row],[Region]])</f>
        <v>0</v>
      </c>
    </row>
    <row r="17" spans="1:18" x14ac:dyDescent="0.3">
      <c r="A17" t="s">
        <v>90</v>
      </c>
      <c r="B17" s="1">
        <v>45881</v>
      </c>
      <c r="C17" t="s">
        <v>86</v>
      </c>
      <c r="D17" t="s">
        <v>91</v>
      </c>
      <c r="E17" t="s">
        <v>28</v>
      </c>
      <c r="F17" t="s">
        <v>29</v>
      </c>
      <c r="G17" t="s">
        <v>30</v>
      </c>
      <c r="H17" t="s">
        <v>37</v>
      </c>
      <c r="I17" t="s">
        <v>68</v>
      </c>
      <c r="J17">
        <v>1</v>
      </c>
      <c r="K17">
        <v>73265</v>
      </c>
      <c r="L17">
        <v>0.15</v>
      </c>
      <c r="M17">
        <v>62275.25</v>
      </c>
      <c r="N17">
        <v>35309.32</v>
      </c>
      <c r="O17">
        <v>26965.93</v>
      </c>
      <c r="P17" t="s">
        <v>24</v>
      </c>
      <c r="Q17">
        <v>4</v>
      </c>
      <c r="R17" t="b">
        <f>ISBLANK(Table1[[#This Row],[Region]])</f>
        <v>0</v>
      </c>
    </row>
    <row r="18" spans="1:18" x14ac:dyDescent="0.3">
      <c r="A18" t="s">
        <v>92</v>
      </c>
      <c r="B18" s="1">
        <v>45912</v>
      </c>
      <c r="C18" t="s">
        <v>93</v>
      </c>
      <c r="D18" t="s">
        <v>94</v>
      </c>
      <c r="E18" t="s">
        <v>49</v>
      </c>
      <c r="F18" t="s">
        <v>29</v>
      </c>
      <c r="G18" t="s">
        <v>30</v>
      </c>
      <c r="H18" t="s">
        <v>22</v>
      </c>
      <c r="I18" t="s">
        <v>95</v>
      </c>
      <c r="J18">
        <v>8</v>
      </c>
      <c r="K18">
        <v>9013</v>
      </c>
      <c r="L18">
        <v>0.1</v>
      </c>
      <c r="M18">
        <v>64893.599999999999</v>
      </c>
      <c r="N18">
        <v>43607.59</v>
      </c>
      <c r="O18">
        <v>21286.01</v>
      </c>
      <c r="P18" t="s">
        <v>32</v>
      </c>
      <c r="Q18">
        <v>3</v>
      </c>
      <c r="R18" t="b">
        <f>ISBLANK(Table1[[#This Row],[Region]])</f>
        <v>0</v>
      </c>
    </row>
    <row r="19" spans="1:18" x14ac:dyDescent="0.3">
      <c r="A19" t="s">
        <v>96</v>
      </c>
      <c r="B19" s="1">
        <v>46006</v>
      </c>
      <c r="C19" t="s">
        <v>97</v>
      </c>
      <c r="D19" t="s">
        <v>98</v>
      </c>
      <c r="E19" t="s">
        <v>19</v>
      </c>
      <c r="F19" t="s">
        <v>20</v>
      </c>
      <c r="G19" t="s">
        <v>50</v>
      </c>
      <c r="H19" t="s">
        <v>22</v>
      </c>
      <c r="I19" t="s">
        <v>72</v>
      </c>
      <c r="J19">
        <v>1</v>
      </c>
      <c r="K19">
        <v>2516</v>
      </c>
      <c r="L19">
        <v>0.1</v>
      </c>
      <c r="M19">
        <v>2264.4</v>
      </c>
      <c r="N19">
        <v>1384.8</v>
      </c>
      <c r="O19">
        <v>879.6</v>
      </c>
      <c r="P19" t="s">
        <v>78</v>
      </c>
      <c r="Q19">
        <v>2</v>
      </c>
      <c r="R19" t="b">
        <f>ISBLANK(Table1[[#This Row],[Region]])</f>
        <v>0</v>
      </c>
    </row>
    <row r="20" spans="1:18" x14ac:dyDescent="0.3">
      <c r="A20" t="s">
        <v>99</v>
      </c>
      <c r="B20" s="1">
        <v>45785</v>
      </c>
      <c r="C20" t="s">
        <v>100</v>
      </c>
      <c r="D20" t="s">
        <v>101</v>
      </c>
      <c r="E20" t="s">
        <v>19</v>
      </c>
      <c r="F20" t="s">
        <v>20</v>
      </c>
      <c r="G20" t="s">
        <v>102</v>
      </c>
      <c r="H20" t="s">
        <v>43</v>
      </c>
      <c r="I20" t="s">
        <v>77</v>
      </c>
      <c r="J20">
        <v>4</v>
      </c>
      <c r="K20">
        <v>5303</v>
      </c>
      <c r="L20">
        <v>0.15</v>
      </c>
      <c r="M20">
        <v>18030.2</v>
      </c>
      <c r="N20">
        <v>15512.69</v>
      </c>
      <c r="O20">
        <v>2517.5100000000002</v>
      </c>
      <c r="P20" t="s">
        <v>45</v>
      </c>
      <c r="Q20">
        <v>1</v>
      </c>
      <c r="R20" t="b">
        <f>ISBLANK(Table1[[#This Row],[Region]])</f>
        <v>0</v>
      </c>
    </row>
    <row r="21" spans="1:18" x14ac:dyDescent="0.3">
      <c r="A21" t="s">
        <v>103</v>
      </c>
      <c r="B21" s="1">
        <v>45801</v>
      </c>
      <c r="C21" t="s">
        <v>104</v>
      </c>
      <c r="D21" t="s">
        <v>105</v>
      </c>
      <c r="E21" t="s">
        <v>60</v>
      </c>
      <c r="F21" t="s">
        <v>29</v>
      </c>
      <c r="G21" t="s">
        <v>42</v>
      </c>
      <c r="H21" t="s">
        <v>55</v>
      </c>
      <c r="I21" t="s">
        <v>106</v>
      </c>
      <c r="J21">
        <v>7</v>
      </c>
      <c r="K21">
        <v>21995</v>
      </c>
      <c r="L21">
        <v>0.1</v>
      </c>
      <c r="M21">
        <v>138568.5</v>
      </c>
      <c r="N21">
        <v>86663.72</v>
      </c>
      <c r="O21">
        <v>51904.78</v>
      </c>
      <c r="P21" t="s">
        <v>45</v>
      </c>
      <c r="Q21">
        <v>4</v>
      </c>
      <c r="R21" t="b">
        <f>ISBLANK(Table1[[#This Row],[Region]])</f>
        <v>0</v>
      </c>
    </row>
    <row r="22" spans="1:18" x14ac:dyDescent="0.3">
      <c r="A22" t="s">
        <v>107</v>
      </c>
      <c r="B22" s="1">
        <v>45961</v>
      </c>
      <c r="C22" t="s">
        <v>34</v>
      </c>
      <c r="D22" t="s">
        <v>108</v>
      </c>
      <c r="E22" t="s">
        <v>60</v>
      </c>
      <c r="F22" t="s">
        <v>29</v>
      </c>
      <c r="G22" t="s">
        <v>109</v>
      </c>
      <c r="H22" t="s">
        <v>37</v>
      </c>
      <c r="I22" t="s">
        <v>110</v>
      </c>
      <c r="J22">
        <v>3</v>
      </c>
      <c r="K22">
        <v>14802</v>
      </c>
      <c r="L22">
        <v>0</v>
      </c>
      <c r="M22">
        <v>44406</v>
      </c>
      <c r="N22">
        <v>29540.61</v>
      </c>
      <c r="O22">
        <v>14865.39</v>
      </c>
      <c r="P22" t="s">
        <v>45</v>
      </c>
      <c r="Q22">
        <v>1</v>
      </c>
      <c r="R22" t="b">
        <f>ISBLANK(Table1[[#This Row],[Region]])</f>
        <v>0</v>
      </c>
    </row>
    <row r="23" spans="1:18" x14ac:dyDescent="0.3">
      <c r="A23" t="s">
        <v>111</v>
      </c>
      <c r="B23" s="1">
        <v>45911</v>
      </c>
      <c r="C23" t="s">
        <v>112</v>
      </c>
      <c r="D23" t="s">
        <v>59</v>
      </c>
      <c r="E23" t="s">
        <v>28</v>
      </c>
      <c r="F23" t="s">
        <v>20</v>
      </c>
      <c r="G23" t="s">
        <v>76</v>
      </c>
      <c r="H23" t="s">
        <v>22</v>
      </c>
      <c r="I23" t="s">
        <v>31</v>
      </c>
      <c r="J23">
        <v>1</v>
      </c>
      <c r="K23">
        <v>2676</v>
      </c>
      <c r="L23">
        <v>0.25</v>
      </c>
      <c r="M23">
        <v>2007</v>
      </c>
      <c r="N23">
        <v>1546.93</v>
      </c>
      <c r="O23">
        <v>460.07</v>
      </c>
      <c r="P23" t="s">
        <v>32</v>
      </c>
      <c r="Q23">
        <v>2</v>
      </c>
      <c r="R23" t="b">
        <f>ISBLANK(Table1[[#This Row],[Region]])</f>
        <v>0</v>
      </c>
    </row>
    <row r="24" spans="1:18" x14ac:dyDescent="0.3">
      <c r="A24" t="s">
        <v>113</v>
      </c>
      <c r="B24" s="1">
        <v>45946</v>
      </c>
      <c r="C24" t="s">
        <v>114</v>
      </c>
      <c r="D24" t="s">
        <v>27</v>
      </c>
      <c r="E24" t="s">
        <v>49</v>
      </c>
      <c r="F24" t="s">
        <v>29</v>
      </c>
      <c r="G24" t="s">
        <v>21</v>
      </c>
      <c r="H24" t="s">
        <v>55</v>
      </c>
      <c r="I24" t="s">
        <v>106</v>
      </c>
      <c r="J24">
        <v>8</v>
      </c>
      <c r="K24">
        <v>24864</v>
      </c>
      <c r="L24">
        <v>0.15</v>
      </c>
      <c r="M24">
        <v>169075.20000000001</v>
      </c>
      <c r="N24">
        <v>132727.26999999999</v>
      </c>
      <c r="O24">
        <v>36347.93</v>
      </c>
      <c r="P24" t="s">
        <v>45</v>
      </c>
      <c r="Q24">
        <v>3</v>
      </c>
      <c r="R24" t="b">
        <f>ISBLANK(Table1[[#This Row],[Region]])</f>
        <v>0</v>
      </c>
    </row>
    <row r="25" spans="1:18" x14ac:dyDescent="0.3">
      <c r="A25" t="s">
        <v>115</v>
      </c>
      <c r="B25" s="1">
        <v>45679</v>
      </c>
      <c r="C25" t="s">
        <v>116</v>
      </c>
      <c r="D25" t="s">
        <v>117</v>
      </c>
      <c r="E25" t="s">
        <v>60</v>
      </c>
      <c r="F25" t="s">
        <v>20</v>
      </c>
      <c r="G25" t="s">
        <v>102</v>
      </c>
      <c r="H25" t="s">
        <v>22</v>
      </c>
      <c r="I25" t="s">
        <v>23</v>
      </c>
      <c r="J25">
        <v>8</v>
      </c>
      <c r="K25">
        <v>1677</v>
      </c>
      <c r="L25">
        <v>0.1</v>
      </c>
      <c r="M25">
        <v>12074.4</v>
      </c>
      <c r="N25">
        <v>9176.42</v>
      </c>
      <c r="O25">
        <v>2897.98</v>
      </c>
      <c r="P25" t="s">
        <v>32</v>
      </c>
      <c r="Q25">
        <v>3</v>
      </c>
      <c r="R25" t="b">
        <f>ISBLANK(Table1[[#This Row],[Region]])</f>
        <v>0</v>
      </c>
    </row>
    <row r="26" spans="1:18" x14ac:dyDescent="0.3">
      <c r="A26" t="s">
        <v>118</v>
      </c>
      <c r="B26" s="1">
        <v>45974</v>
      </c>
      <c r="C26" t="s">
        <v>119</v>
      </c>
      <c r="D26" t="s">
        <v>120</v>
      </c>
      <c r="E26" t="s">
        <v>19</v>
      </c>
      <c r="F26" t="s">
        <v>20</v>
      </c>
      <c r="G26" t="s">
        <v>21</v>
      </c>
      <c r="H26" t="s">
        <v>55</v>
      </c>
      <c r="I26" t="s">
        <v>121</v>
      </c>
      <c r="J26">
        <v>6</v>
      </c>
      <c r="K26">
        <v>16305</v>
      </c>
      <c r="L26">
        <v>0</v>
      </c>
      <c r="M26">
        <v>97830</v>
      </c>
      <c r="N26">
        <v>60109.71</v>
      </c>
      <c r="O26">
        <v>37720.29</v>
      </c>
      <c r="P26" t="s">
        <v>24</v>
      </c>
      <c r="Q26">
        <v>1</v>
      </c>
      <c r="R26" t="b">
        <f>ISBLANK(Table1[[#This Row],[Region]])</f>
        <v>0</v>
      </c>
    </row>
    <row r="27" spans="1:18" x14ac:dyDescent="0.3">
      <c r="A27" t="s">
        <v>122</v>
      </c>
      <c r="B27" s="1">
        <v>45890</v>
      </c>
      <c r="C27" t="s">
        <v>123</v>
      </c>
      <c r="D27" t="s">
        <v>94</v>
      </c>
      <c r="E27" t="s">
        <v>28</v>
      </c>
      <c r="F27" t="s">
        <v>20</v>
      </c>
      <c r="G27" t="s">
        <v>109</v>
      </c>
      <c r="H27" t="s">
        <v>22</v>
      </c>
      <c r="I27" t="s">
        <v>95</v>
      </c>
      <c r="J27">
        <v>5</v>
      </c>
      <c r="K27">
        <v>4410</v>
      </c>
      <c r="L27">
        <v>0.25</v>
      </c>
      <c r="M27">
        <v>16537.5</v>
      </c>
      <c r="N27">
        <v>11115.72</v>
      </c>
      <c r="O27">
        <v>5421.78</v>
      </c>
      <c r="P27" t="s">
        <v>24</v>
      </c>
      <c r="Q27">
        <v>3</v>
      </c>
      <c r="R27" t="b">
        <f>ISBLANK(Table1[[#This Row],[Region]])</f>
        <v>0</v>
      </c>
    </row>
    <row r="28" spans="1:18" x14ac:dyDescent="0.3">
      <c r="A28" t="s">
        <v>124</v>
      </c>
      <c r="B28" s="1">
        <v>45785</v>
      </c>
      <c r="C28" t="s">
        <v>125</v>
      </c>
      <c r="D28" t="s">
        <v>126</v>
      </c>
      <c r="E28" t="s">
        <v>28</v>
      </c>
      <c r="F28" t="s">
        <v>20</v>
      </c>
      <c r="G28" t="s">
        <v>109</v>
      </c>
      <c r="H28" t="s">
        <v>37</v>
      </c>
      <c r="I28" t="s">
        <v>110</v>
      </c>
      <c r="J28">
        <v>7</v>
      </c>
      <c r="K28">
        <v>23483</v>
      </c>
      <c r="L28">
        <v>0</v>
      </c>
      <c r="M28">
        <v>164381</v>
      </c>
      <c r="N28">
        <v>107601.22</v>
      </c>
      <c r="O28">
        <v>56779.78</v>
      </c>
      <c r="P28" t="s">
        <v>32</v>
      </c>
      <c r="Q28">
        <v>3</v>
      </c>
      <c r="R28" t="b">
        <f>ISBLANK(Table1[[#This Row],[Region]])</f>
        <v>0</v>
      </c>
    </row>
    <row r="29" spans="1:18" x14ac:dyDescent="0.3">
      <c r="A29" t="s">
        <v>127</v>
      </c>
      <c r="B29" s="1">
        <v>45784</v>
      </c>
      <c r="C29" t="s">
        <v>128</v>
      </c>
      <c r="D29" t="s">
        <v>129</v>
      </c>
      <c r="E29" t="s">
        <v>28</v>
      </c>
      <c r="F29" t="s">
        <v>20</v>
      </c>
      <c r="G29" t="s">
        <v>21</v>
      </c>
      <c r="H29" t="s">
        <v>55</v>
      </c>
      <c r="I29" t="s">
        <v>61</v>
      </c>
      <c r="J29">
        <v>2</v>
      </c>
      <c r="K29">
        <v>15568</v>
      </c>
      <c r="L29">
        <v>0.25</v>
      </c>
      <c r="M29">
        <v>23352</v>
      </c>
      <c r="N29">
        <v>15607.39</v>
      </c>
      <c r="O29">
        <v>7744.61</v>
      </c>
      <c r="P29" t="s">
        <v>24</v>
      </c>
      <c r="Q29">
        <v>1</v>
      </c>
      <c r="R29" t="b">
        <f>ISBLANK(Table1[[#This Row],[Region]])</f>
        <v>0</v>
      </c>
    </row>
    <row r="30" spans="1:18" x14ac:dyDescent="0.3">
      <c r="A30" t="s">
        <v>130</v>
      </c>
      <c r="B30" s="1">
        <v>45670</v>
      </c>
      <c r="C30" t="s">
        <v>26</v>
      </c>
      <c r="D30" t="s">
        <v>131</v>
      </c>
      <c r="E30" t="s">
        <v>19</v>
      </c>
      <c r="F30" t="s">
        <v>29</v>
      </c>
      <c r="G30" t="s">
        <v>76</v>
      </c>
      <c r="H30" t="s">
        <v>55</v>
      </c>
      <c r="I30" t="s">
        <v>61</v>
      </c>
      <c r="J30">
        <v>7</v>
      </c>
      <c r="K30">
        <v>7693</v>
      </c>
      <c r="L30">
        <v>0.05</v>
      </c>
      <c r="M30">
        <v>51158.45</v>
      </c>
      <c r="N30">
        <v>41813.72</v>
      </c>
      <c r="O30">
        <v>9344.73</v>
      </c>
      <c r="P30" t="s">
        <v>45</v>
      </c>
      <c r="Q30">
        <v>1</v>
      </c>
      <c r="R30" t="b">
        <f>ISBLANK(Table1[[#This Row],[Region]])</f>
        <v>0</v>
      </c>
    </row>
    <row r="31" spans="1:18" x14ac:dyDescent="0.3">
      <c r="A31" t="s">
        <v>132</v>
      </c>
      <c r="B31" s="1">
        <v>45749</v>
      </c>
      <c r="C31" t="s">
        <v>133</v>
      </c>
      <c r="D31" t="s">
        <v>134</v>
      </c>
      <c r="E31" t="s">
        <v>28</v>
      </c>
      <c r="F31" t="s">
        <v>20</v>
      </c>
      <c r="G31" t="s">
        <v>36</v>
      </c>
      <c r="H31" t="s">
        <v>22</v>
      </c>
      <c r="I31" t="s">
        <v>95</v>
      </c>
      <c r="J31">
        <v>8</v>
      </c>
      <c r="K31">
        <v>1046</v>
      </c>
      <c r="L31">
        <v>0.1</v>
      </c>
      <c r="M31">
        <v>7531.2</v>
      </c>
      <c r="N31">
        <v>4982.18</v>
      </c>
      <c r="O31">
        <v>2549.02</v>
      </c>
      <c r="P31" t="s">
        <v>32</v>
      </c>
      <c r="Q31">
        <v>3</v>
      </c>
      <c r="R31" t="b">
        <f>ISBLANK(Table1[[#This Row],[Region]])</f>
        <v>0</v>
      </c>
    </row>
    <row r="32" spans="1:18" x14ac:dyDescent="0.3">
      <c r="A32" t="s">
        <v>135</v>
      </c>
      <c r="B32" s="1">
        <v>45962</v>
      </c>
      <c r="C32" t="s">
        <v>74</v>
      </c>
      <c r="D32" t="s">
        <v>81</v>
      </c>
      <c r="E32" t="s">
        <v>60</v>
      </c>
      <c r="F32" t="s">
        <v>20</v>
      </c>
      <c r="G32" t="s">
        <v>109</v>
      </c>
      <c r="H32" t="s">
        <v>55</v>
      </c>
      <c r="I32" t="s">
        <v>106</v>
      </c>
      <c r="J32">
        <v>6</v>
      </c>
      <c r="K32">
        <v>7520</v>
      </c>
      <c r="L32">
        <v>0.05</v>
      </c>
      <c r="M32">
        <v>42864</v>
      </c>
      <c r="N32">
        <v>35745.730000000003</v>
      </c>
      <c r="O32">
        <v>7118.27</v>
      </c>
      <c r="P32" t="s">
        <v>78</v>
      </c>
      <c r="Q32">
        <v>4</v>
      </c>
      <c r="R32" t="b">
        <f>ISBLANK(Table1[[#This Row],[Region]])</f>
        <v>0</v>
      </c>
    </row>
    <row r="33" spans="1:18" x14ac:dyDescent="0.3">
      <c r="A33" t="s">
        <v>136</v>
      </c>
      <c r="B33" s="1">
        <v>45853</v>
      </c>
      <c r="C33" t="s">
        <v>137</v>
      </c>
      <c r="D33" t="s">
        <v>75</v>
      </c>
      <c r="E33" t="s">
        <v>60</v>
      </c>
      <c r="F33" t="s">
        <v>29</v>
      </c>
      <c r="G33" t="s">
        <v>36</v>
      </c>
      <c r="H33" t="s">
        <v>37</v>
      </c>
      <c r="I33" t="s">
        <v>110</v>
      </c>
      <c r="J33">
        <v>5</v>
      </c>
      <c r="K33">
        <v>20948</v>
      </c>
      <c r="L33">
        <v>0.15</v>
      </c>
      <c r="M33">
        <v>89029</v>
      </c>
      <c r="N33">
        <v>67266.2</v>
      </c>
      <c r="O33">
        <v>21762.799999999999</v>
      </c>
      <c r="P33" t="s">
        <v>78</v>
      </c>
      <c r="Q33">
        <v>4</v>
      </c>
      <c r="R33" t="b">
        <f>ISBLANK(Table1[[#This Row],[Region]])</f>
        <v>0</v>
      </c>
    </row>
    <row r="34" spans="1:18" x14ac:dyDescent="0.3">
      <c r="A34" t="s">
        <v>138</v>
      </c>
      <c r="B34" s="1">
        <v>45976</v>
      </c>
      <c r="C34" t="s">
        <v>139</v>
      </c>
      <c r="D34" t="s">
        <v>140</v>
      </c>
      <c r="E34" t="s">
        <v>28</v>
      </c>
      <c r="F34" t="s">
        <v>20</v>
      </c>
      <c r="G34" t="s">
        <v>30</v>
      </c>
      <c r="H34" t="s">
        <v>37</v>
      </c>
      <c r="I34" t="s">
        <v>51</v>
      </c>
      <c r="J34">
        <v>4</v>
      </c>
      <c r="K34">
        <v>53823</v>
      </c>
      <c r="L34">
        <v>0.1</v>
      </c>
      <c r="M34">
        <v>193762.8</v>
      </c>
      <c r="N34">
        <v>157415.12</v>
      </c>
      <c r="O34">
        <v>36347.68</v>
      </c>
      <c r="P34" t="s">
        <v>24</v>
      </c>
      <c r="Q34">
        <v>2</v>
      </c>
      <c r="R34" t="b">
        <f>ISBLANK(Table1[[#This Row],[Region]])</f>
        <v>0</v>
      </c>
    </row>
    <row r="35" spans="1:18" x14ac:dyDescent="0.3">
      <c r="A35" t="s">
        <v>141</v>
      </c>
      <c r="B35" s="1">
        <v>45779</v>
      </c>
      <c r="C35" t="s">
        <v>70</v>
      </c>
      <c r="D35" t="s">
        <v>54</v>
      </c>
      <c r="E35" t="s">
        <v>60</v>
      </c>
      <c r="F35" t="s">
        <v>29</v>
      </c>
      <c r="G35" t="s">
        <v>109</v>
      </c>
      <c r="H35" t="s">
        <v>55</v>
      </c>
      <c r="I35" t="s">
        <v>106</v>
      </c>
      <c r="J35">
        <v>7</v>
      </c>
      <c r="K35">
        <v>17551</v>
      </c>
      <c r="L35">
        <v>0.2</v>
      </c>
      <c r="M35">
        <v>98285.6</v>
      </c>
      <c r="N35">
        <v>55944.55</v>
      </c>
      <c r="O35">
        <v>42341.05</v>
      </c>
      <c r="P35" t="s">
        <v>45</v>
      </c>
      <c r="Q35">
        <v>1</v>
      </c>
      <c r="R35" t="b">
        <f>ISBLANK(Table1[[#This Row],[Region]])</f>
        <v>0</v>
      </c>
    </row>
    <row r="36" spans="1:18" x14ac:dyDescent="0.3">
      <c r="A36" t="s">
        <v>142</v>
      </c>
      <c r="B36" s="1">
        <v>45904</v>
      </c>
      <c r="C36" t="s">
        <v>143</v>
      </c>
      <c r="D36" t="s">
        <v>144</v>
      </c>
      <c r="E36" t="s">
        <v>28</v>
      </c>
      <c r="F36" t="s">
        <v>29</v>
      </c>
      <c r="G36" t="s">
        <v>102</v>
      </c>
      <c r="H36" t="s">
        <v>37</v>
      </c>
      <c r="I36" t="s">
        <v>38</v>
      </c>
      <c r="J36">
        <v>1</v>
      </c>
      <c r="K36">
        <v>71651</v>
      </c>
      <c r="L36">
        <v>0.2</v>
      </c>
      <c r="M36">
        <v>57320.800000000003</v>
      </c>
      <c r="N36">
        <v>43097.67</v>
      </c>
      <c r="O36">
        <v>14223.13</v>
      </c>
      <c r="P36" t="s">
        <v>24</v>
      </c>
      <c r="Q36">
        <v>1</v>
      </c>
      <c r="R36" t="b">
        <f>ISBLANK(Table1[[#This Row],[Region]])</f>
        <v>0</v>
      </c>
    </row>
    <row r="37" spans="1:18" x14ac:dyDescent="0.3">
      <c r="A37" t="s">
        <v>145</v>
      </c>
      <c r="B37" s="1">
        <v>45861</v>
      </c>
      <c r="C37" t="s">
        <v>146</v>
      </c>
      <c r="D37" t="s">
        <v>147</v>
      </c>
      <c r="E37" t="s">
        <v>60</v>
      </c>
      <c r="F37" t="s">
        <v>29</v>
      </c>
      <c r="G37" t="s">
        <v>76</v>
      </c>
      <c r="H37" t="s">
        <v>55</v>
      </c>
      <c r="I37" t="s">
        <v>61</v>
      </c>
      <c r="J37">
        <v>5</v>
      </c>
      <c r="K37">
        <v>2807</v>
      </c>
      <c r="L37">
        <v>0.25</v>
      </c>
      <c r="M37">
        <v>10526.25</v>
      </c>
      <c r="N37">
        <v>8761.02</v>
      </c>
      <c r="O37">
        <v>1765.23</v>
      </c>
      <c r="P37" t="s">
        <v>78</v>
      </c>
      <c r="Q37">
        <v>4</v>
      </c>
      <c r="R37" t="b">
        <f>ISBLANK(Table1[[#This Row],[Region]])</f>
        <v>0</v>
      </c>
    </row>
    <row r="38" spans="1:18" x14ac:dyDescent="0.3">
      <c r="A38" t="s">
        <v>148</v>
      </c>
      <c r="B38" s="1">
        <v>45757</v>
      </c>
      <c r="C38" t="s">
        <v>149</v>
      </c>
      <c r="D38" t="s">
        <v>150</v>
      </c>
      <c r="E38" t="s">
        <v>60</v>
      </c>
      <c r="F38" t="s">
        <v>29</v>
      </c>
      <c r="G38" t="s">
        <v>30</v>
      </c>
      <c r="H38" t="s">
        <v>55</v>
      </c>
      <c r="I38" t="s">
        <v>56</v>
      </c>
      <c r="J38">
        <v>5</v>
      </c>
      <c r="K38">
        <v>10263</v>
      </c>
      <c r="L38">
        <v>0.05</v>
      </c>
      <c r="M38">
        <v>48749.25</v>
      </c>
      <c r="N38">
        <v>42081.23</v>
      </c>
      <c r="O38">
        <v>6668.02</v>
      </c>
      <c r="P38" t="s">
        <v>78</v>
      </c>
      <c r="Q38">
        <v>2</v>
      </c>
      <c r="R38" t="b">
        <f>ISBLANK(Table1[[#This Row],[Region]])</f>
        <v>0</v>
      </c>
    </row>
    <row r="39" spans="1:18" x14ac:dyDescent="0.3">
      <c r="A39" t="s">
        <v>151</v>
      </c>
      <c r="B39" s="1">
        <v>45817</v>
      </c>
      <c r="C39" t="s">
        <v>152</v>
      </c>
      <c r="D39" t="s">
        <v>153</v>
      </c>
      <c r="E39" t="s">
        <v>28</v>
      </c>
      <c r="F39" t="s">
        <v>29</v>
      </c>
      <c r="G39" t="s">
        <v>30</v>
      </c>
      <c r="H39" t="s">
        <v>37</v>
      </c>
      <c r="I39" t="s">
        <v>110</v>
      </c>
      <c r="J39">
        <v>5</v>
      </c>
      <c r="K39">
        <v>51550</v>
      </c>
      <c r="L39">
        <v>0.05</v>
      </c>
      <c r="M39">
        <v>244862.5</v>
      </c>
      <c r="N39">
        <v>136816.60999999999</v>
      </c>
      <c r="O39">
        <v>108045.89</v>
      </c>
      <c r="P39" t="s">
        <v>78</v>
      </c>
      <c r="Q39">
        <v>4</v>
      </c>
      <c r="R39" t="b">
        <f>ISBLANK(Table1[[#This Row],[Region]])</f>
        <v>0</v>
      </c>
    </row>
    <row r="40" spans="1:18" x14ac:dyDescent="0.3">
      <c r="A40" t="s">
        <v>154</v>
      </c>
      <c r="B40" s="1">
        <v>45825</v>
      </c>
      <c r="C40" t="s">
        <v>155</v>
      </c>
      <c r="D40" t="s">
        <v>156</v>
      </c>
      <c r="E40" t="s">
        <v>60</v>
      </c>
      <c r="F40" t="s">
        <v>20</v>
      </c>
      <c r="G40" t="s">
        <v>76</v>
      </c>
      <c r="H40" t="s">
        <v>37</v>
      </c>
      <c r="I40" t="s">
        <v>38</v>
      </c>
      <c r="J40">
        <v>3</v>
      </c>
      <c r="K40">
        <v>61691</v>
      </c>
      <c r="L40">
        <v>0.15</v>
      </c>
      <c r="M40">
        <v>157312.04999999999</v>
      </c>
      <c r="N40">
        <v>106565.36</v>
      </c>
      <c r="O40">
        <v>50746.69</v>
      </c>
      <c r="P40" t="s">
        <v>45</v>
      </c>
      <c r="Q40">
        <v>2</v>
      </c>
      <c r="R40" t="b">
        <f>ISBLANK(Table1[[#This Row],[Region]])</f>
        <v>0</v>
      </c>
    </row>
    <row r="41" spans="1:18" x14ac:dyDescent="0.3">
      <c r="A41" t="s">
        <v>157</v>
      </c>
      <c r="B41" s="1">
        <v>45747</v>
      </c>
      <c r="C41" t="s">
        <v>149</v>
      </c>
      <c r="D41" t="s">
        <v>131</v>
      </c>
      <c r="E41" t="s">
        <v>60</v>
      </c>
      <c r="F41" t="s">
        <v>29</v>
      </c>
      <c r="G41" t="s">
        <v>76</v>
      </c>
      <c r="H41" t="s">
        <v>43</v>
      </c>
      <c r="I41" t="s">
        <v>158</v>
      </c>
      <c r="J41">
        <v>3</v>
      </c>
      <c r="K41">
        <v>2958</v>
      </c>
      <c r="L41">
        <v>0.05</v>
      </c>
      <c r="M41">
        <v>8430.2999999999993</v>
      </c>
      <c r="N41">
        <v>5524.05</v>
      </c>
      <c r="O41">
        <v>2906.25</v>
      </c>
      <c r="P41" t="s">
        <v>32</v>
      </c>
      <c r="Q41">
        <v>5</v>
      </c>
      <c r="R41" t="b">
        <f>ISBLANK(Table1[[#This Row],[Region]])</f>
        <v>0</v>
      </c>
    </row>
    <row r="42" spans="1:18" x14ac:dyDescent="0.3">
      <c r="A42" t="s">
        <v>159</v>
      </c>
      <c r="B42" s="1">
        <v>46014</v>
      </c>
      <c r="C42" t="s">
        <v>40</v>
      </c>
      <c r="D42" t="s">
        <v>94</v>
      </c>
      <c r="E42" t="s">
        <v>19</v>
      </c>
      <c r="F42" t="s">
        <v>20</v>
      </c>
      <c r="G42" t="s">
        <v>42</v>
      </c>
      <c r="H42" t="s">
        <v>37</v>
      </c>
      <c r="I42" t="s">
        <v>110</v>
      </c>
      <c r="J42">
        <v>4</v>
      </c>
      <c r="K42">
        <v>31812</v>
      </c>
      <c r="L42">
        <v>0.2</v>
      </c>
      <c r="M42">
        <v>101798.39999999999</v>
      </c>
      <c r="N42">
        <v>65463.64</v>
      </c>
      <c r="O42">
        <v>36334.76</v>
      </c>
      <c r="P42" t="s">
        <v>78</v>
      </c>
      <c r="Q42">
        <v>4</v>
      </c>
      <c r="R42" t="b">
        <f>ISBLANK(Table1[[#This Row],[Region]])</f>
        <v>0</v>
      </c>
    </row>
    <row r="43" spans="1:18" x14ac:dyDescent="0.3">
      <c r="A43" t="s">
        <v>160</v>
      </c>
      <c r="B43" s="1">
        <v>45925</v>
      </c>
      <c r="C43" t="s">
        <v>161</v>
      </c>
      <c r="D43" t="s">
        <v>162</v>
      </c>
      <c r="E43" t="s">
        <v>49</v>
      </c>
      <c r="F43" t="s">
        <v>20</v>
      </c>
      <c r="G43" t="s">
        <v>102</v>
      </c>
      <c r="H43" t="s">
        <v>37</v>
      </c>
      <c r="I43" t="s">
        <v>68</v>
      </c>
      <c r="J43">
        <v>8</v>
      </c>
      <c r="K43">
        <v>26088</v>
      </c>
      <c r="L43">
        <v>0.25</v>
      </c>
      <c r="M43">
        <v>156528</v>
      </c>
      <c r="N43">
        <v>115113.2</v>
      </c>
      <c r="O43">
        <v>41414.800000000003</v>
      </c>
      <c r="P43" t="s">
        <v>24</v>
      </c>
      <c r="Q43">
        <v>1</v>
      </c>
      <c r="R43" t="b">
        <f>ISBLANK(Table1[[#This Row],[Region]])</f>
        <v>0</v>
      </c>
    </row>
    <row r="44" spans="1:18" x14ac:dyDescent="0.3">
      <c r="A44" t="s">
        <v>163</v>
      </c>
      <c r="B44" s="1">
        <v>45834</v>
      </c>
      <c r="C44" t="s">
        <v>164</v>
      </c>
      <c r="D44" t="s">
        <v>165</v>
      </c>
      <c r="E44" t="s">
        <v>60</v>
      </c>
      <c r="F44" t="s">
        <v>20</v>
      </c>
      <c r="G44" t="s">
        <v>102</v>
      </c>
      <c r="H44" t="s">
        <v>55</v>
      </c>
      <c r="I44" t="s">
        <v>61</v>
      </c>
      <c r="J44">
        <v>8</v>
      </c>
      <c r="K44">
        <v>10046</v>
      </c>
      <c r="L44">
        <v>0.2</v>
      </c>
      <c r="M44">
        <v>64294.400000000001</v>
      </c>
      <c r="N44">
        <v>54362.37</v>
      </c>
      <c r="O44">
        <v>9932.0300000000007</v>
      </c>
      <c r="P44" t="s">
        <v>45</v>
      </c>
      <c r="Q44">
        <v>1</v>
      </c>
      <c r="R44" t="b">
        <f>ISBLANK(Table1[[#This Row],[Region]])</f>
        <v>0</v>
      </c>
    </row>
    <row r="45" spans="1:18" x14ac:dyDescent="0.3">
      <c r="A45" t="s">
        <v>166</v>
      </c>
      <c r="B45" s="1">
        <v>45801</v>
      </c>
      <c r="C45" t="s">
        <v>167</v>
      </c>
      <c r="D45" t="s">
        <v>168</v>
      </c>
      <c r="E45" t="s">
        <v>19</v>
      </c>
      <c r="F45" t="s">
        <v>20</v>
      </c>
      <c r="G45" t="s">
        <v>50</v>
      </c>
      <c r="H45" t="s">
        <v>22</v>
      </c>
      <c r="I45" t="s">
        <v>95</v>
      </c>
      <c r="J45">
        <v>7</v>
      </c>
      <c r="K45">
        <v>14274</v>
      </c>
      <c r="L45">
        <v>0.1</v>
      </c>
      <c r="M45">
        <v>89926.2</v>
      </c>
      <c r="N45">
        <v>64090.26</v>
      </c>
      <c r="O45">
        <v>25835.94</v>
      </c>
      <c r="P45" t="s">
        <v>78</v>
      </c>
      <c r="Q45">
        <v>5</v>
      </c>
      <c r="R45" t="b">
        <f>ISBLANK(Table1[[#This Row],[Region]])</f>
        <v>0</v>
      </c>
    </row>
    <row r="46" spans="1:18" x14ac:dyDescent="0.3">
      <c r="A46" t="s">
        <v>169</v>
      </c>
      <c r="B46" s="1">
        <v>45843</v>
      </c>
      <c r="C46" t="s">
        <v>100</v>
      </c>
      <c r="D46" t="s">
        <v>170</v>
      </c>
      <c r="E46" t="s">
        <v>28</v>
      </c>
      <c r="F46" t="s">
        <v>29</v>
      </c>
      <c r="G46" t="s">
        <v>76</v>
      </c>
      <c r="H46" t="s">
        <v>37</v>
      </c>
      <c r="I46" t="s">
        <v>68</v>
      </c>
      <c r="J46">
        <v>8</v>
      </c>
      <c r="K46">
        <v>59390</v>
      </c>
      <c r="L46">
        <v>0.2</v>
      </c>
      <c r="M46">
        <v>380096</v>
      </c>
      <c r="N46">
        <v>325820.79999999999</v>
      </c>
      <c r="O46">
        <v>54275.199999999997</v>
      </c>
      <c r="P46" t="s">
        <v>78</v>
      </c>
      <c r="Q46">
        <v>5</v>
      </c>
      <c r="R46" t="b">
        <f>ISBLANK(Table1[[#This Row],[Region]])</f>
        <v>0</v>
      </c>
    </row>
    <row r="47" spans="1:18" x14ac:dyDescent="0.3">
      <c r="A47" t="s">
        <v>171</v>
      </c>
      <c r="B47" s="1">
        <v>45910</v>
      </c>
      <c r="C47" t="s">
        <v>172</v>
      </c>
      <c r="D47" t="s">
        <v>173</v>
      </c>
      <c r="E47" t="s">
        <v>19</v>
      </c>
      <c r="F47" t="s">
        <v>29</v>
      </c>
      <c r="G47" t="s">
        <v>30</v>
      </c>
      <c r="H47" t="s">
        <v>43</v>
      </c>
      <c r="I47" t="s">
        <v>158</v>
      </c>
      <c r="J47">
        <v>7</v>
      </c>
      <c r="K47">
        <v>1487</v>
      </c>
      <c r="L47">
        <v>0.05</v>
      </c>
      <c r="M47">
        <v>9888.5499999999993</v>
      </c>
      <c r="N47">
        <v>8169.9</v>
      </c>
      <c r="O47">
        <v>1718.65</v>
      </c>
      <c r="P47" t="s">
        <v>24</v>
      </c>
      <c r="Q47">
        <v>2</v>
      </c>
      <c r="R47" t="b">
        <f>ISBLANK(Table1[[#This Row],[Region]])</f>
        <v>0</v>
      </c>
    </row>
    <row r="48" spans="1:18" x14ac:dyDescent="0.3">
      <c r="A48" t="s">
        <v>174</v>
      </c>
      <c r="B48" s="1">
        <v>46022</v>
      </c>
      <c r="C48" t="s">
        <v>175</v>
      </c>
      <c r="D48" t="s">
        <v>176</v>
      </c>
      <c r="E48" t="s">
        <v>19</v>
      </c>
      <c r="F48" t="s">
        <v>20</v>
      </c>
      <c r="G48" t="s">
        <v>36</v>
      </c>
      <c r="H48" t="s">
        <v>55</v>
      </c>
      <c r="I48" t="s">
        <v>56</v>
      </c>
      <c r="J48">
        <v>5</v>
      </c>
      <c r="K48">
        <v>13076</v>
      </c>
      <c r="L48">
        <v>0.25</v>
      </c>
      <c r="M48">
        <v>49035</v>
      </c>
      <c r="N48">
        <v>42934.61</v>
      </c>
      <c r="O48">
        <v>6100.39</v>
      </c>
      <c r="P48" t="s">
        <v>78</v>
      </c>
      <c r="Q48">
        <v>1</v>
      </c>
      <c r="R48" t="b">
        <f>ISBLANK(Table1[[#This Row],[Region]])</f>
        <v>0</v>
      </c>
    </row>
    <row r="49" spans="1:18" x14ac:dyDescent="0.3">
      <c r="A49" t="s">
        <v>177</v>
      </c>
      <c r="B49" s="1">
        <v>45839</v>
      </c>
      <c r="C49" t="s">
        <v>100</v>
      </c>
      <c r="D49" t="s">
        <v>178</v>
      </c>
      <c r="E49" t="s">
        <v>60</v>
      </c>
      <c r="F49" t="s">
        <v>29</v>
      </c>
      <c r="G49" t="s">
        <v>102</v>
      </c>
      <c r="H49" t="s">
        <v>22</v>
      </c>
      <c r="I49" t="s">
        <v>72</v>
      </c>
      <c r="J49">
        <v>6</v>
      </c>
      <c r="K49">
        <v>10710</v>
      </c>
      <c r="L49">
        <v>0.1</v>
      </c>
      <c r="M49">
        <v>57834</v>
      </c>
      <c r="N49">
        <v>46640.72</v>
      </c>
      <c r="O49">
        <v>11193.28</v>
      </c>
      <c r="P49" t="s">
        <v>78</v>
      </c>
      <c r="Q49">
        <v>3</v>
      </c>
      <c r="R49" t="b">
        <f>ISBLANK(Table1[[#This Row],[Region]])</f>
        <v>0</v>
      </c>
    </row>
    <row r="50" spans="1:18" x14ac:dyDescent="0.3">
      <c r="A50" t="s">
        <v>179</v>
      </c>
      <c r="B50" s="1">
        <v>45974</v>
      </c>
      <c r="C50" t="s">
        <v>100</v>
      </c>
      <c r="D50" t="s">
        <v>91</v>
      </c>
      <c r="E50" t="s">
        <v>60</v>
      </c>
      <c r="F50" t="s">
        <v>20</v>
      </c>
      <c r="G50" t="s">
        <v>50</v>
      </c>
      <c r="H50" t="s">
        <v>37</v>
      </c>
      <c r="I50" t="s">
        <v>51</v>
      </c>
      <c r="J50">
        <v>4</v>
      </c>
      <c r="K50">
        <v>43203</v>
      </c>
      <c r="L50">
        <v>0.15</v>
      </c>
      <c r="M50">
        <v>146890.20000000001</v>
      </c>
      <c r="N50">
        <v>86549.16</v>
      </c>
      <c r="O50">
        <v>60341.04</v>
      </c>
      <c r="P50" t="s">
        <v>32</v>
      </c>
      <c r="Q50">
        <v>1</v>
      </c>
      <c r="R50" t="b">
        <f>ISBLANK(Table1[[#This Row],[Region]])</f>
        <v>0</v>
      </c>
    </row>
    <row r="51" spans="1:18" x14ac:dyDescent="0.3">
      <c r="A51" t="s">
        <v>180</v>
      </c>
      <c r="B51" s="1">
        <v>45715</v>
      </c>
      <c r="C51" t="s">
        <v>53</v>
      </c>
      <c r="D51" t="s">
        <v>181</v>
      </c>
      <c r="E51" t="s">
        <v>19</v>
      </c>
      <c r="F51" t="s">
        <v>20</v>
      </c>
      <c r="G51" t="s">
        <v>76</v>
      </c>
      <c r="H51" t="s">
        <v>22</v>
      </c>
      <c r="I51" t="s">
        <v>23</v>
      </c>
      <c r="J51">
        <v>1</v>
      </c>
      <c r="K51">
        <v>13068</v>
      </c>
      <c r="L51">
        <v>0.25</v>
      </c>
      <c r="M51">
        <v>9801</v>
      </c>
      <c r="N51">
        <v>6801.8</v>
      </c>
      <c r="O51">
        <v>2999.2</v>
      </c>
      <c r="P51" t="s">
        <v>78</v>
      </c>
      <c r="Q51">
        <v>5</v>
      </c>
      <c r="R51" t="b">
        <f>ISBLANK(Table1[[#This Row],[Region]])</f>
        <v>0</v>
      </c>
    </row>
    <row r="52" spans="1:18" x14ac:dyDescent="0.3">
      <c r="A52" t="s">
        <v>182</v>
      </c>
      <c r="B52" s="1">
        <v>45677</v>
      </c>
      <c r="C52" t="s">
        <v>183</v>
      </c>
      <c r="D52" t="s">
        <v>184</v>
      </c>
      <c r="E52" t="s">
        <v>28</v>
      </c>
      <c r="F52" t="s">
        <v>20</v>
      </c>
      <c r="G52" t="s">
        <v>42</v>
      </c>
      <c r="H52" t="s">
        <v>55</v>
      </c>
      <c r="I52" t="s">
        <v>121</v>
      </c>
      <c r="J52">
        <v>3</v>
      </c>
      <c r="K52">
        <v>23018</v>
      </c>
      <c r="L52">
        <v>0.15</v>
      </c>
      <c r="M52">
        <v>58695.9</v>
      </c>
      <c r="N52">
        <v>43010.71</v>
      </c>
      <c r="O52">
        <v>15685.19</v>
      </c>
      <c r="P52" t="s">
        <v>32</v>
      </c>
      <c r="Q52">
        <v>1</v>
      </c>
      <c r="R52" t="b">
        <f>ISBLANK(Table1[[#This Row],[Region]])</f>
        <v>0</v>
      </c>
    </row>
    <row r="53" spans="1:18" x14ac:dyDescent="0.3">
      <c r="A53" t="s">
        <v>185</v>
      </c>
      <c r="B53" s="1">
        <v>45987</v>
      </c>
      <c r="C53" t="s">
        <v>186</v>
      </c>
      <c r="D53" t="s">
        <v>187</v>
      </c>
      <c r="E53" t="s">
        <v>60</v>
      </c>
      <c r="F53" t="s">
        <v>29</v>
      </c>
      <c r="G53" t="s">
        <v>50</v>
      </c>
      <c r="H53" t="s">
        <v>55</v>
      </c>
      <c r="I53" t="s">
        <v>56</v>
      </c>
      <c r="J53">
        <v>3</v>
      </c>
      <c r="K53">
        <v>22578</v>
      </c>
      <c r="L53">
        <v>0</v>
      </c>
      <c r="M53">
        <v>67734</v>
      </c>
      <c r="N53">
        <v>57711.67</v>
      </c>
      <c r="O53">
        <v>10022.33</v>
      </c>
      <c r="P53" t="s">
        <v>45</v>
      </c>
      <c r="Q53">
        <v>4</v>
      </c>
      <c r="R53" t="b">
        <f>ISBLANK(Table1[[#This Row],[Region]])</f>
        <v>0</v>
      </c>
    </row>
    <row r="54" spans="1:18" x14ac:dyDescent="0.3">
      <c r="A54" t="s">
        <v>188</v>
      </c>
      <c r="B54" s="1">
        <v>45685</v>
      </c>
      <c r="C54" t="s">
        <v>189</v>
      </c>
      <c r="D54" t="s">
        <v>190</v>
      </c>
      <c r="E54" t="s">
        <v>60</v>
      </c>
      <c r="F54" t="s">
        <v>29</v>
      </c>
      <c r="G54" t="s">
        <v>102</v>
      </c>
      <c r="H54" t="s">
        <v>22</v>
      </c>
      <c r="I54" t="s">
        <v>95</v>
      </c>
      <c r="J54">
        <v>4</v>
      </c>
      <c r="K54">
        <v>9809</v>
      </c>
      <c r="L54">
        <v>0.05</v>
      </c>
      <c r="M54">
        <v>37274.199999999997</v>
      </c>
      <c r="N54">
        <v>23322.48</v>
      </c>
      <c r="O54">
        <v>13951.72</v>
      </c>
      <c r="P54" t="s">
        <v>32</v>
      </c>
      <c r="Q54">
        <v>1</v>
      </c>
      <c r="R54" t="b">
        <f>ISBLANK(Table1[[#This Row],[Region]])</f>
        <v>0</v>
      </c>
    </row>
    <row r="55" spans="1:18" x14ac:dyDescent="0.3">
      <c r="A55" t="s">
        <v>191</v>
      </c>
      <c r="B55" s="1">
        <v>45692</v>
      </c>
      <c r="C55" t="s">
        <v>137</v>
      </c>
      <c r="D55" t="s">
        <v>101</v>
      </c>
      <c r="E55" t="s">
        <v>60</v>
      </c>
      <c r="F55" t="s">
        <v>29</v>
      </c>
      <c r="G55" t="s">
        <v>76</v>
      </c>
      <c r="H55" t="s">
        <v>37</v>
      </c>
      <c r="I55" t="s">
        <v>38</v>
      </c>
      <c r="J55">
        <v>4</v>
      </c>
      <c r="K55">
        <v>45526</v>
      </c>
      <c r="L55">
        <v>0.2</v>
      </c>
      <c r="M55">
        <v>145683.20000000001</v>
      </c>
      <c r="N55">
        <v>86528.7</v>
      </c>
      <c r="O55">
        <v>59154.5</v>
      </c>
      <c r="P55" t="s">
        <v>78</v>
      </c>
      <c r="Q55">
        <v>1</v>
      </c>
      <c r="R55" t="b">
        <f>ISBLANK(Table1[[#This Row],[Region]])</f>
        <v>0</v>
      </c>
    </row>
    <row r="56" spans="1:18" x14ac:dyDescent="0.3">
      <c r="A56" t="s">
        <v>192</v>
      </c>
      <c r="B56" s="1">
        <v>45946</v>
      </c>
      <c r="C56" t="s">
        <v>175</v>
      </c>
      <c r="D56" t="s">
        <v>184</v>
      </c>
      <c r="E56" t="s">
        <v>49</v>
      </c>
      <c r="F56" t="s">
        <v>20</v>
      </c>
      <c r="G56" t="s">
        <v>42</v>
      </c>
      <c r="H56" t="s">
        <v>55</v>
      </c>
      <c r="I56" t="s">
        <v>61</v>
      </c>
      <c r="J56">
        <v>6</v>
      </c>
      <c r="K56">
        <v>21719</v>
      </c>
      <c r="L56">
        <v>0.2</v>
      </c>
      <c r="M56">
        <v>104251.2</v>
      </c>
      <c r="N56">
        <v>63008.94</v>
      </c>
      <c r="O56">
        <v>41242.26</v>
      </c>
      <c r="P56" t="s">
        <v>78</v>
      </c>
      <c r="Q56">
        <v>5</v>
      </c>
      <c r="R56" t="b">
        <f>ISBLANK(Table1[[#This Row],[Region]])</f>
        <v>0</v>
      </c>
    </row>
    <row r="57" spans="1:18" x14ac:dyDescent="0.3">
      <c r="A57" t="s">
        <v>193</v>
      </c>
      <c r="B57" s="1">
        <v>45755</v>
      </c>
      <c r="C57" t="s">
        <v>112</v>
      </c>
      <c r="D57" t="s">
        <v>91</v>
      </c>
      <c r="E57" t="s">
        <v>49</v>
      </c>
      <c r="F57" t="s">
        <v>29</v>
      </c>
      <c r="G57" t="s">
        <v>36</v>
      </c>
      <c r="H57" t="s">
        <v>43</v>
      </c>
      <c r="I57" t="s">
        <v>65</v>
      </c>
      <c r="J57">
        <v>6</v>
      </c>
      <c r="K57">
        <v>6702</v>
      </c>
      <c r="L57">
        <v>0</v>
      </c>
      <c r="M57">
        <v>40212</v>
      </c>
      <c r="N57">
        <v>33241.19</v>
      </c>
      <c r="O57">
        <v>6970.81</v>
      </c>
      <c r="P57" t="s">
        <v>32</v>
      </c>
      <c r="Q57">
        <v>4</v>
      </c>
      <c r="R57" t="b">
        <f>ISBLANK(Table1[[#This Row],[Region]])</f>
        <v>0</v>
      </c>
    </row>
    <row r="58" spans="1:18" x14ac:dyDescent="0.3">
      <c r="A58" t="s">
        <v>194</v>
      </c>
      <c r="B58" s="1">
        <v>45710</v>
      </c>
      <c r="C58" t="s">
        <v>123</v>
      </c>
      <c r="D58" t="s">
        <v>195</v>
      </c>
      <c r="E58" t="s">
        <v>60</v>
      </c>
      <c r="F58" t="s">
        <v>20</v>
      </c>
      <c r="G58" t="s">
        <v>42</v>
      </c>
      <c r="H58" t="s">
        <v>37</v>
      </c>
      <c r="I58" t="s">
        <v>68</v>
      </c>
      <c r="J58">
        <v>5</v>
      </c>
      <c r="K58">
        <v>74750</v>
      </c>
      <c r="L58">
        <v>0.2</v>
      </c>
      <c r="M58">
        <v>299000</v>
      </c>
      <c r="N58">
        <v>222186.7</v>
      </c>
      <c r="O58">
        <v>76813.3</v>
      </c>
      <c r="P58" t="s">
        <v>24</v>
      </c>
      <c r="Q58">
        <v>1</v>
      </c>
      <c r="R58" t="b">
        <f>ISBLANK(Table1[[#This Row],[Region]])</f>
        <v>0</v>
      </c>
    </row>
    <row r="59" spans="1:18" x14ac:dyDescent="0.3">
      <c r="A59" t="s">
        <v>196</v>
      </c>
      <c r="B59" s="1">
        <v>45945</v>
      </c>
      <c r="C59" t="s">
        <v>149</v>
      </c>
      <c r="D59" t="s">
        <v>140</v>
      </c>
      <c r="E59" t="s">
        <v>49</v>
      </c>
      <c r="F59" t="s">
        <v>29</v>
      </c>
      <c r="G59" t="s">
        <v>36</v>
      </c>
      <c r="H59" t="s">
        <v>37</v>
      </c>
      <c r="I59" t="s">
        <v>68</v>
      </c>
      <c r="J59">
        <v>5</v>
      </c>
      <c r="K59">
        <v>45778</v>
      </c>
      <c r="L59">
        <v>0.25</v>
      </c>
      <c r="M59">
        <v>171667.5</v>
      </c>
      <c r="N59">
        <v>144168.57</v>
      </c>
      <c r="O59">
        <v>27498.93</v>
      </c>
      <c r="P59" t="s">
        <v>32</v>
      </c>
      <c r="Q59">
        <v>2</v>
      </c>
      <c r="R59" t="b">
        <f>ISBLANK(Table1[[#This Row],[Region]])</f>
        <v>0</v>
      </c>
    </row>
    <row r="60" spans="1:18" x14ac:dyDescent="0.3">
      <c r="A60" t="s">
        <v>197</v>
      </c>
      <c r="B60" s="1">
        <v>45893</v>
      </c>
      <c r="C60" t="s">
        <v>198</v>
      </c>
      <c r="D60" t="s">
        <v>199</v>
      </c>
      <c r="E60" t="s">
        <v>49</v>
      </c>
      <c r="F60" t="s">
        <v>20</v>
      </c>
      <c r="G60" t="s">
        <v>42</v>
      </c>
      <c r="H60" t="s">
        <v>55</v>
      </c>
      <c r="I60" t="s">
        <v>56</v>
      </c>
      <c r="J60">
        <v>3</v>
      </c>
      <c r="K60">
        <v>13244</v>
      </c>
      <c r="L60">
        <v>0.15</v>
      </c>
      <c r="M60">
        <v>33772.199999999997</v>
      </c>
      <c r="N60">
        <v>27673.19</v>
      </c>
      <c r="O60">
        <v>6099.01</v>
      </c>
      <c r="P60" t="s">
        <v>24</v>
      </c>
      <c r="Q60">
        <v>5</v>
      </c>
      <c r="R60" t="b">
        <f>ISBLANK(Table1[[#This Row],[Region]])</f>
        <v>0</v>
      </c>
    </row>
    <row r="61" spans="1:18" x14ac:dyDescent="0.3">
      <c r="A61" t="s">
        <v>200</v>
      </c>
      <c r="B61" s="1">
        <v>45883</v>
      </c>
      <c r="C61" t="s">
        <v>93</v>
      </c>
      <c r="D61" t="s">
        <v>201</v>
      </c>
      <c r="E61" t="s">
        <v>60</v>
      </c>
      <c r="F61" t="s">
        <v>29</v>
      </c>
      <c r="G61" t="s">
        <v>109</v>
      </c>
      <c r="H61" t="s">
        <v>55</v>
      </c>
      <c r="I61" t="s">
        <v>56</v>
      </c>
      <c r="J61">
        <v>3</v>
      </c>
      <c r="K61">
        <v>5718</v>
      </c>
      <c r="L61">
        <v>0.25</v>
      </c>
      <c r="M61">
        <v>12865.5</v>
      </c>
      <c r="N61">
        <v>9696.69</v>
      </c>
      <c r="O61">
        <v>3168.81</v>
      </c>
      <c r="P61" t="s">
        <v>78</v>
      </c>
      <c r="Q61">
        <v>3</v>
      </c>
      <c r="R61" t="b">
        <f>ISBLANK(Table1[[#This Row],[Region]])</f>
        <v>0</v>
      </c>
    </row>
    <row r="62" spans="1:18" x14ac:dyDescent="0.3">
      <c r="A62" t="s">
        <v>202</v>
      </c>
      <c r="B62" s="1">
        <v>45687</v>
      </c>
      <c r="C62" t="s">
        <v>203</v>
      </c>
      <c r="D62" t="s">
        <v>204</v>
      </c>
      <c r="E62" t="s">
        <v>19</v>
      </c>
      <c r="F62" t="s">
        <v>20</v>
      </c>
      <c r="G62" t="s">
        <v>50</v>
      </c>
      <c r="H62" t="s">
        <v>43</v>
      </c>
      <c r="I62" t="s">
        <v>158</v>
      </c>
      <c r="J62">
        <v>4</v>
      </c>
      <c r="K62">
        <v>4561</v>
      </c>
      <c r="L62">
        <v>0</v>
      </c>
      <c r="M62">
        <v>18244</v>
      </c>
      <c r="N62">
        <v>14752.2</v>
      </c>
      <c r="O62">
        <v>3491.8</v>
      </c>
      <c r="P62" t="s">
        <v>32</v>
      </c>
      <c r="Q62">
        <v>1</v>
      </c>
      <c r="R62" t="b">
        <f>ISBLANK(Table1[[#This Row],[Region]])</f>
        <v>0</v>
      </c>
    </row>
    <row r="63" spans="1:18" x14ac:dyDescent="0.3">
      <c r="A63" t="s">
        <v>205</v>
      </c>
      <c r="B63" s="1">
        <v>45862</v>
      </c>
      <c r="C63" t="s">
        <v>206</v>
      </c>
      <c r="D63" t="s">
        <v>207</v>
      </c>
      <c r="E63" t="s">
        <v>49</v>
      </c>
      <c r="F63" t="s">
        <v>20</v>
      </c>
      <c r="G63" t="s">
        <v>42</v>
      </c>
      <c r="H63" t="s">
        <v>37</v>
      </c>
      <c r="I63" t="s">
        <v>110</v>
      </c>
      <c r="J63">
        <v>4</v>
      </c>
      <c r="K63">
        <v>34868</v>
      </c>
      <c r="L63">
        <v>0.05</v>
      </c>
      <c r="M63">
        <v>132498.4</v>
      </c>
      <c r="N63">
        <v>100018.52</v>
      </c>
      <c r="O63">
        <v>32479.88</v>
      </c>
      <c r="P63" t="s">
        <v>78</v>
      </c>
      <c r="Q63">
        <v>3</v>
      </c>
      <c r="R63" t="b">
        <f>ISBLANK(Table1[[#This Row],[Region]])</f>
        <v>0</v>
      </c>
    </row>
    <row r="64" spans="1:18" x14ac:dyDescent="0.3">
      <c r="A64" t="s">
        <v>208</v>
      </c>
      <c r="B64" s="1">
        <v>45852</v>
      </c>
      <c r="C64" t="s">
        <v>128</v>
      </c>
      <c r="D64" t="s">
        <v>209</v>
      </c>
      <c r="E64" t="s">
        <v>49</v>
      </c>
      <c r="F64" t="s">
        <v>29</v>
      </c>
      <c r="G64" t="s">
        <v>76</v>
      </c>
      <c r="H64" t="s">
        <v>22</v>
      </c>
      <c r="I64" t="s">
        <v>72</v>
      </c>
      <c r="J64">
        <v>4</v>
      </c>
      <c r="K64">
        <v>2974</v>
      </c>
      <c r="L64">
        <v>0</v>
      </c>
      <c r="M64">
        <v>11896</v>
      </c>
      <c r="N64">
        <v>10063.299999999999</v>
      </c>
      <c r="O64">
        <v>1832.7</v>
      </c>
      <c r="P64" t="s">
        <v>32</v>
      </c>
      <c r="Q64">
        <v>3</v>
      </c>
      <c r="R64" t="b">
        <f>ISBLANK(Table1[[#This Row],[Region]])</f>
        <v>0</v>
      </c>
    </row>
    <row r="65" spans="1:18" x14ac:dyDescent="0.3">
      <c r="A65" t="s">
        <v>210</v>
      </c>
      <c r="B65" s="1">
        <v>45983</v>
      </c>
      <c r="C65" t="s">
        <v>70</v>
      </c>
      <c r="D65" t="s">
        <v>71</v>
      </c>
      <c r="E65" t="s">
        <v>19</v>
      </c>
      <c r="F65" t="s">
        <v>29</v>
      </c>
      <c r="G65" t="s">
        <v>30</v>
      </c>
      <c r="H65" t="s">
        <v>37</v>
      </c>
      <c r="I65" t="s">
        <v>38</v>
      </c>
      <c r="J65">
        <v>2</v>
      </c>
      <c r="K65">
        <v>21471</v>
      </c>
      <c r="L65">
        <v>0.2</v>
      </c>
      <c r="M65">
        <v>34353.599999999999</v>
      </c>
      <c r="N65">
        <v>19255.04</v>
      </c>
      <c r="O65">
        <v>15098.56</v>
      </c>
      <c r="P65" t="s">
        <v>32</v>
      </c>
      <c r="Q65">
        <v>2</v>
      </c>
      <c r="R65" t="b">
        <f>ISBLANK(Table1[[#This Row],[Region]])</f>
        <v>0</v>
      </c>
    </row>
    <row r="66" spans="1:18" x14ac:dyDescent="0.3">
      <c r="A66" t="s">
        <v>211</v>
      </c>
      <c r="B66" s="1">
        <v>45778</v>
      </c>
      <c r="C66" t="s">
        <v>212</v>
      </c>
      <c r="D66" t="s">
        <v>213</v>
      </c>
      <c r="E66" t="s">
        <v>60</v>
      </c>
      <c r="F66" t="s">
        <v>20</v>
      </c>
      <c r="G66" t="s">
        <v>36</v>
      </c>
      <c r="H66" t="s">
        <v>55</v>
      </c>
      <c r="I66" t="s">
        <v>56</v>
      </c>
      <c r="J66">
        <v>5</v>
      </c>
      <c r="K66">
        <v>8379</v>
      </c>
      <c r="L66">
        <v>0.05</v>
      </c>
      <c r="M66">
        <v>39800.25</v>
      </c>
      <c r="N66">
        <v>32389.66</v>
      </c>
      <c r="O66">
        <v>7410.59</v>
      </c>
      <c r="P66" t="s">
        <v>45</v>
      </c>
      <c r="Q66">
        <v>5</v>
      </c>
      <c r="R66" t="b">
        <f>ISBLANK(Table1[[#This Row],[Region]])</f>
        <v>0</v>
      </c>
    </row>
    <row r="67" spans="1:18" x14ac:dyDescent="0.3">
      <c r="A67" t="s">
        <v>214</v>
      </c>
      <c r="B67" s="1">
        <v>45864</v>
      </c>
      <c r="C67" t="s">
        <v>47</v>
      </c>
      <c r="D67" t="s">
        <v>213</v>
      </c>
      <c r="E67" t="s">
        <v>60</v>
      </c>
      <c r="F67" t="s">
        <v>29</v>
      </c>
      <c r="G67" t="s">
        <v>30</v>
      </c>
      <c r="H67" t="s">
        <v>55</v>
      </c>
      <c r="I67" t="s">
        <v>61</v>
      </c>
      <c r="J67">
        <v>1</v>
      </c>
      <c r="K67">
        <v>2571</v>
      </c>
      <c r="L67">
        <v>0.1</v>
      </c>
      <c r="M67">
        <v>2313.9</v>
      </c>
      <c r="N67">
        <v>1413.54</v>
      </c>
      <c r="O67">
        <v>900.36</v>
      </c>
      <c r="P67" t="s">
        <v>45</v>
      </c>
      <c r="Q67">
        <v>2</v>
      </c>
      <c r="R67" t="b">
        <f>ISBLANK(Table1[[#This Row],[Region]])</f>
        <v>0</v>
      </c>
    </row>
    <row r="68" spans="1:18" x14ac:dyDescent="0.3">
      <c r="A68" t="s">
        <v>215</v>
      </c>
      <c r="B68" s="1">
        <v>45895</v>
      </c>
      <c r="C68" t="s">
        <v>125</v>
      </c>
      <c r="D68" t="s">
        <v>117</v>
      </c>
      <c r="E68" t="s">
        <v>60</v>
      </c>
      <c r="F68" t="s">
        <v>20</v>
      </c>
      <c r="G68" t="s">
        <v>36</v>
      </c>
      <c r="H68" t="s">
        <v>55</v>
      </c>
      <c r="I68" t="s">
        <v>56</v>
      </c>
      <c r="J68">
        <v>3</v>
      </c>
      <c r="K68">
        <v>6685</v>
      </c>
      <c r="L68">
        <v>0.1</v>
      </c>
      <c r="M68">
        <v>18049.5</v>
      </c>
      <c r="N68">
        <v>15259.38</v>
      </c>
      <c r="O68">
        <v>2790.12</v>
      </c>
      <c r="P68" t="s">
        <v>45</v>
      </c>
      <c r="Q68">
        <v>1</v>
      </c>
      <c r="R68" t="b">
        <f>ISBLANK(Table1[[#This Row],[Region]])</f>
        <v>0</v>
      </c>
    </row>
    <row r="69" spans="1:18" x14ac:dyDescent="0.3">
      <c r="A69" t="s">
        <v>216</v>
      </c>
      <c r="B69" s="1">
        <v>45783</v>
      </c>
      <c r="C69" t="s">
        <v>53</v>
      </c>
      <c r="D69" t="s">
        <v>126</v>
      </c>
      <c r="E69" t="s">
        <v>19</v>
      </c>
      <c r="F69" t="s">
        <v>20</v>
      </c>
      <c r="G69" t="s">
        <v>50</v>
      </c>
      <c r="H69" t="s">
        <v>37</v>
      </c>
      <c r="I69" t="s">
        <v>110</v>
      </c>
      <c r="J69">
        <v>2</v>
      </c>
      <c r="K69">
        <v>42646</v>
      </c>
      <c r="L69">
        <v>0</v>
      </c>
      <c r="M69">
        <v>85292</v>
      </c>
      <c r="N69">
        <v>52862.09</v>
      </c>
      <c r="O69">
        <v>32429.91</v>
      </c>
      <c r="P69" t="s">
        <v>24</v>
      </c>
      <c r="Q69">
        <v>4</v>
      </c>
      <c r="R69" t="b">
        <f>ISBLANK(Table1[[#This Row],[Region]])</f>
        <v>0</v>
      </c>
    </row>
    <row r="70" spans="1:18" x14ac:dyDescent="0.3">
      <c r="A70" t="s">
        <v>217</v>
      </c>
      <c r="B70" s="1">
        <v>45691</v>
      </c>
      <c r="C70" t="s">
        <v>218</v>
      </c>
      <c r="D70" t="s">
        <v>219</v>
      </c>
      <c r="E70" t="s">
        <v>49</v>
      </c>
      <c r="F70" t="s">
        <v>29</v>
      </c>
      <c r="G70" t="s">
        <v>102</v>
      </c>
      <c r="H70" t="s">
        <v>43</v>
      </c>
      <c r="I70" t="s">
        <v>65</v>
      </c>
      <c r="J70">
        <v>5</v>
      </c>
      <c r="K70">
        <v>4045</v>
      </c>
      <c r="L70">
        <v>0.15</v>
      </c>
      <c r="M70">
        <v>17191.25</v>
      </c>
      <c r="N70">
        <v>12502.25</v>
      </c>
      <c r="O70">
        <v>4689</v>
      </c>
      <c r="P70" t="s">
        <v>32</v>
      </c>
      <c r="Q70">
        <v>1</v>
      </c>
      <c r="R70" t="b">
        <f>ISBLANK(Table1[[#This Row],[Region]])</f>
        <v>0</v>
      </c>
    </row>
    <row r="71" spans="1:18" x14ac:dyDescent="0.3">
      <c r="A71" t="s">
        <v>220</v>
      </c>
      <c r="B71" s="1">
        <v>46022</v>
      </c>
      <c r="C71" t="s">
        <v>221</v>
      </c>
      <c r="D71" t="s">
        <v>222</v>
      </c>
      <c r="E71" t="s">
        <v>60</v>
      </c>
      <c r="F71" t="s">
        <v>29</v>
      </c>
      <c r="G71" t="s">
        <v>76</v>
      </c>
      <c r="H71" t="s">
        <v>55</v>
      </c>
      <c r="I71" t="s">
        <v>61</v>
      </c>
      <c r="J71">
        <v>2</v>
      </c>
      <c r="K71">
        <v>15385</v>
      </c>
      <c r="L71">
        <v>0.1</v>
      </c>
      <c r="M71">
        <v>27693</v>
      </c>
      <c r="N71">
        <v>18485.41</v>
      </c>
      <c r="O71">
        <v>9207.59</v>
      </c>
      <c r="P71" t="s">
        <v>32</v>
      </c>
      <c r="Q71">
        <v>4</v>
      </c>
      <c r="R71" t="b">
        <f>ISBLANK(Table1[[#This Row],[Region]])</f>
        <v>0</v>
      </c>
    </row>
    <row r="72" spans="1:18" x14ac:dyDescent="0.3">
      <c r="A72" t="s">
        <v>223</v>
      </c>
      <c r="B72" s="1">
        <v>45900</v>
      </c>
      <c r="C72" t="s">
        <v>224</v>
      </c>
      <c r="D72" t="s">
        <v>219</v>
      </c>
      <c r="E72" t="s">
        <v>49</v>
      </c>
      <c r="F72" t="s">
        <v>29</v>
      </c>
      <c r="G72" t="s">
        <v>21</v>
      </c>
      <c r="H72" t="s">
        <v>43</v>
      </c>
      <c r="I72" t="s">
        <v>158</v>
      </c>
      <c r="J72">
        <v>6</v>
      </c>
      <c r="K72">
        <v>6525</v>
      </c>
      <c r="L72">
        <v>0</v>
      </c>
      <c r="M72">
        <v>39150</v>
      </c>
      <c r="N72">
        <v>22569.08</v>
      </c>
      <c r="O72">
        <v>16580.919999999998</v>
      </c>
      <c r="P72" t="s">
        <v>78</v>
      </c>
      <c r="Q72">
        <v>2</v>
      </c>
      <c r="R72" t="b">
        <f>ISBLANK(Table1[[#This Row],[Region]])</f>
        <v>0</v>
      </c>
    </row>
    <row r="73" spans="1:18" x14ac:dyDescent="0.3">
      <c r="A73" t="s">
        <v>225</v>
      </c>
      <c r="B73" s="1">
        <v>45719</v>
      </c>
      <c r="C73" t="s">
        <v>183</v>
      </c>
      <c r="D73" t="s">
        <v>134</v>
      </c>
      <c r="E73" t="s">
        <v>28</v>
      </c>
      <c r="F73" t="s">
        <v>20</v>
      </c>
      <c r="G73" t="s">
        <v>21</v>
      </c>
      <c r="H73" t="s">
        <v>22</v>
      </c>
      <c r="I73" t="s">
        <v>31</v>
      </c>
      <c r="J73">
        <v>4</v>
      </c>
      <c r="K73">
        <v>378</v>
      </c>
      <c r="L73">
        <v>0.25</v>
      </c>
      <c r="M73">
        <v>1134</v>
      </c>
      <c r="N73">
        <v>720.21</v>
      </c>
      <c r="O73">
        <v>413.79</v>
      </c>
      <c r="P73" t="s">
        <v>32</v>
      </c>
      <c r="Q73">
        <v>3</v>
      </c>
      <c r="R73" t="b">
        <f>ISBLANK(Table1[[#This Row],[Region]])</f>
        <v>0</v>
      </c>
    </row>
    <row r="74" spans="1:18" x14ac:dyDescent="0.3">
      <c r="A74" t="s">
        <v>226</v>
      </c>
      <c r="B74" s="1">
        <v>45882</v>
      </c>
      <c r="C74" t="s">
        <v>227</v>
      </c>
      <c r="D74" t="s">
        <v>165</v>
      </c>
      <c r="E74" t="s">
        <v>60</v>
      </c>
      <c r="F74" t="s">
        <v>20</v>
      </c>
      <c r="G74" t="s">
        <v>30</v>
      </c>
      <c r="H74" t="s">
        <v>22</v>
      </c>
      <c r="I74" t="s">
        <v>23</v>
      </c>
      <c r="J74">
        <v>6</v>
      </c>
      <c r="K74">
        <v>14530</v>
      </c>
      <c r="L74">
        <v>0.15</v>
      </c>
      <c r="M74">
        <v>74103</v>
      </c>
      <c r="N74">
        <v>51160.27</v>
      </c>
      <c r="O74">
        <v>22942.73</v>
      </c>
      <c r="P74" t="s">
        <v>32</v>
      </c>
      <c r="Q74">
        <v>5</v>
      </c>
      <c r="R74" t="b">
        <f>ISBLANK(Table1[[#This Row],[Region]])</f>
        <v>0</v>
      </c>
    </row>
    <row r="75" spans="1:18" x14ac:dyDescent="0.3">
      <c r="A75" t="s">
        <v>228</v>
      </c>
      <c r="B75" s="1">
        <v>45835</v>
      </c>
      <c r="C75" t="s">
        <v>229</v>
      </c>
      <c r="D75" t="s">
        <v>71</v>
      </c>
      <c r="E75" t="s">
        <v>49</v>
      </c>
      <c r="F75" t="s">
        <v>29</v>
      </c>
      <c r="G75" t="s">
        <v>50</v>
      </c>
      <c r="H75" t="s">
        <v>43</v>
      </c>
      <c r="I75" t="s">
        <v>77</v>
      </c>
      <c r="J75">
        <v>4</v>
      </c>
      <c r="K75">
        <v>2837</v>
      </c>
      <c r="L75">
        <v>0.1</v>
      </c>
      <c r="M75">
        <v>10213.200000000001</v>
      </c>
      <c r="N75">
        <v>5791.92</v>
      </c>
      <c r="O75">
        <v>4421.28</v>
      </c>
      <c r="P75" t="s">
        <v>32</v>
      </c>
      <c r="Q75">
        <v>5</v>
      </c>
      <c r="R75" t="b">
        <f>ISBLANK(Table1[[#This Row],[Region]])</f>
        <v>0</v>
      </c>
    </row>
    <row r="76" spans="1:18" x14ac:dyDescent="0.3">
      <c r="A76" t="s">
        <v>230</v>
      </c>
      <c r="B76" s="1">
        <v>45695</v>
      </c>
      <c r="C76" t="s">
        <v>231</v>
      </c>
      <c r="D76" t="s">
        <v>199</v>
      </c>
      <c r="E76" t="s">
        <v>28</v>
      </c>
      <c r="F76" t="s">
        <v>20</v>
      </c>
      <c r="G76" t="s">
        <v>76</v>
      </c>
      <c r="H76" t="s">
        <v>55</v>
      </c>
      <c r="I76" t="s">
        <v>61</v>
      </c>
      <c r="J76">
        <v>1</v>
      </c>
      <c r="K76">
        <v>3901</v>
      </c>
      <c r="L76">
        <v>0</v>
      </c>
      <c r="M76">
        <v>3901</v>
      </c>
      <c r="N76">
        <v>3124.21</v>
      </c>
      <c r="O76">
        <v>776.79</v>
      </c>
      <c r="P76" t="s">
        <v>32</v>
      </c>
      <c r="Q76">
        <v>4</v>
      </c>
      <c r="R76" t="b">
        <f>ISBLANK(Table1[[#This Row],[Region]])</f>
        <v>0</v>
      </c>
    </row>
    <row r="77" spans="1:18" x14ac:dyDescent="0.3">
      <c r="A77" t="s">
        <v>232</v>
      </c>
      <c r="B77" s="1">
        <v>45692</v>
      </c>
      <c r="C77" t="s">
        <v>70</v>
      </c>
      <c r="D77" t="s">
        <v>219</v>
      </c>
      <c r="E77" t="s">
        <v>28</v>
      </c>
      <c r="F77" t="s">
        <v>29</v>
      </c>
      <c r="G77" t="s">
        <v>50</v>
      </c>
      <c r="H77" t="s">
        <v>55</v>
      </c>
      <c r="I77" t="s">
        <v>56</v>
      </c>
      <c r="J77">
        <v>5</v>
      </c>
      <c r="K77">
        <v>18406</v>
      </c>
      <c r="L77">
        <v>0</v>
      </c>
      <c r="M77">
        <v>92030</v>
      </c>
      <c r="N77">
        <v>56842.38</v>
      </c>
      <c r="O77">
        <v>35187.620000000003</v>
      </c>
      <c r="P77" t="s">
        <v>45</v>
      </c>
      <c r="Q77">
        <v>5</v>
      </c>
      <c r="R77" t="b">
        <f>ISBLANK(Table1[[#This Row],[Region]])</f>
        <v>0</v>
      </c>
    </row>
    <row r="78" spans="1:18" x14ac:dyDescent="0.3">
      <c r="A78" t="s">
        <v>233</v>
      </c>
      <c r="B78" s="1">
        <v>45822</v>
      </c>
      <c r="C78" t="s">
        <v>198</v>
      </c>
      <c r="D78" t="s">
        <v>234</v>
      </c>
      <c r="E78" t="s">
        <v>28</v>
      </c>
      <c r="F78" t="s">
        <v>29</v>
      </c>
      <c r="G78" t="s">
        <v>30</v>
      </c>
      <c r="H78" t="s">
        <v>43</v>
      </c>
      <c r="I78" t="s">
        <v>65</v>
      </c>
      <c r="J78">
        <v>5</v>
      </c>
      <c r="K78">
        <v>1932</v>
      </c>
      <c r="L78">
        <v>0.25</v>
      </c>
      <c r="M78">
        <v>7245</v>
      </c>
      <c r="N78">
        <v>5957.52</v>
      </c>
      <c r="O78">
        <v>1287.48</v>
      </c>
      <c r="P78" t="s">
        <v>32</v>
      </c>
      <c r="Q78">
        <v>4</v>
      </c>
      <c r="R78" t="b">
        <f>ISBLANK(Table1[[#This Row],[Region]])</f>
        <v>0</v>
      </c>
    </row>
    <row r="79" spans="1:18" x14ac:dyDescent="0.3">
      <c r="A79" t="s">
        <v>235</v>
      </c>
      <c r="B79" s="1">
        <v>45782</v>
      </c>
      <c r="C79" t="s">
        <v>93</v>
      </c>
      <c r="D79" t="s">
        <v>236</v>
      </c>
      <c r="E79" t="s">
        <v>60</v>
      </c>
      <c r="F79" t="s">
        <v>20</v>
      </c>
      <c r="G79" t="s">
        <v>36</v>
      </c>
      <c r="H79" t="s">
        <v>37</v>
      </c>
      <c r="I79" t="s">
        <v>51</v>
      </c>
      <c r="J79">
        <v>1</v>
      </c>
      <c r="K79">
        <v>51477</v>
      </c>
      <c r="L79">
        <v>0.25</v>
      </c>
      <c r="M79">
        <v>38607.75</v>
      </c>
      <c r="N79">
        <v>32696.53</v>
      </c>
      <c r="O79">
        <v>5911.22</v>
      </c>
      <c r="P79" t="s">
        <v>24</v>
      </c>
      <c r="Q79">
        <v>1</v>
      </c>
      <c r="R79" t="b">
        <f>ISBLANK(Table1[[#This Row],[Region]])</f>
        <v>0</v>
      </c>
    </row>
    <row r="80" spans="1:18" x14ac:dyDescent="0.3">
      <c r="A80" t="s">
        <v>237</v>
      </c>
      <c r="B80" s="1">
        <v>45696</v>
      </c>
      <c r="C80" t="s">
        <v>203</v>
      </c>
      <c r="D80" t="s">
        <v>238</v>
      </c>
      <c r="E80" t="s">
        <v>60</v>
      </c>
      <c r="F80" t="s">
        <v>20</v>
      </c>
      <c r="G80" t="s">
        <v>36</v>
      </c>
      <c r="H80" t="s">
        <v>37</v>
      </c>
      <c r="I80" t="s">
        <v>68</v>
      </c>
      <c r="J80">
        <v>7</v>
      </c>
      <c r="K80">
        <v>40264</v>
      </c>
      <c r="L80">
        <v>0.2</v>
      </c>
      <c r="M80">
        <v>225478.39999999999</v>
      </c>
      <c r="N80">
        <v>191461.78</v>
      </c>
      <c r="O80">
        <v>34016.620000000003</v>
      </c>
      <c r="P80" t="s">
        <v>78</v>
      </c>
      <c r="Q80">
        <v>2</v>
      </c>
      <c r="R80" t="b">
        <f>ISBLANK(Table1[[#This Row],[Region]])</f>
        <v>0</v>
      </c>
    </row>
    <row r="81" spans="1:18" x14ac:dyDescent="0.3">
      <c r="A81" t="s">
        <v>239</v>
      </c>
      <c r="B81" s="1">
        <v>45814</v>
      </c>
      <c r="C81" t="s">
        <v>93</v>
      </c>
      <c r="D81" t="s">
        <v>240</v>
      </c>
      <c r="E81" t="s">
        <v>28</v>
      </c>
      <c r="F81" t="s">
        <v>20</v>
      </c>
      <c r="G81" t="s">
        <v>76</v>
      </c>
      <c r="H81" t="s">
        <v>22</v>
      </c>
      <c r="I81" t="s">
        <v>31</v>
      </c>
      <c r="J81">
        <v>7</v>
      </c>
      <c r="K81">
        <v>9415</v>
      </c>
      <c r="L81">
        <v>0.15</v>
      </c>
      <c r="M81">
        <v>56019.25</v>
      </c>
      <c r="N81">
        <v>44517.5</v>
      </c>
      <c r="O81">
        <v>11501.75</v>
      </c>
      <c r="P81" t="s">
        <v>78</v>
      </c>
      <c r="Q81">
        <v>1</v>
      </c>
      <c r="R81" t="b">
        <f>ISBLANK(Table1[[#This Row],[Region]])</f>
        <v>0</v>
      </c>
    </row>
    <row r="82" spans="1:18" x14ac:dyDescent="0.3">
      <c r="A82" t="s">
        <v>241</v>
      </c>
      <c r="B82" s="1">
        <v>45775</v>
      </c>
      <c r="C82" t="s">
        <v>93</v>
      </c>
      <c r="D82" t="s">
        <v>162</v>
      </c>
      <c r="E82" t="s">
        <v>49</v>
      </c>
      <c r="F82" t="s">
        <v>20</v>
      </c>
      <c r="G82" t="s">
        <v>50</v>
      </c>
      <c r="H82" t="s">
        <v>22</v>
      </c>
      <c r="I82" t="s">
        <v>95</v>
      </c>
      <c r="J82">
        <v>2</v>
      </c>
      <c r="K82">
        <v>11508</v>
      </c>
      <c r="L82">
        <v>0.1</v>
      </c>
      <c r="M82">
        <v>20714.400000000001</v>
      </c>
      <c r="N82">
        <v>16551.419999999998</v>
      </c>
      <c r="O82">
        <v>4162.9799999999996</v>
      </c>
      <c r="P82" t="s">
        <v>24</v>
      </c>
      <c r="Q82">
        <v>4</v>
      </c>
      <c r="R82" t="b">
        <f>ISBLANK(Table1[[#This Row],[Region]])</f>
        <v>0</v>
      </c>
    </row>
    <row r="83" spans="1:18" x14ac:dyDescent="0.3">
      <c r="A83" t="s">
        <v>242</v>
      </c>
      <c r="B83" s="1">
        <v>45787</v>
      </c>
      <c r="C83" t="s">
        <v>128</v>
      </c>
      <c r="D83" t="s">
        <v>243</v>
      </c>
      <c r="E83" t="s">
        <v>28</v>
      </c>
      <c r="F83" t="s">
        <v>20</v>
      </c>
      <c r="G83" t="s">
        <v>50</v>
      </c>
      <c r="H83" t="s">
        <v>43</v>
      </c>
      <c r="I83" t="s">
        <v>65</v>
      </c>
      <c r="J83">
        <v>8</v>
      </c>
      <c r="K83">
        <v>1539</v>
      </c>
      <c r="L83">
        <v>0.15</v>
      </c>
      <c r="M83">
        <v>10465.200000000001</v>
      </c>
      <c r="N83">
        <v>8250.17</v>
      </c>
      <c r="O83">
        <v>2215.0300000000002</v>
      </c>
      <c r="P83" t="s">
        <v>45</v>
      </c>
      <c r="Q83">
        <v>2</v>
      </c>
      <c r="R83" t="b">
        <f>ISBLANK(Table1[[#This Row],[Region]])</f>
        <v>0</v>
      </c>
    </row>
    <row r="84" spans="1:18" x14ac:dyDescent="0.3">
      <c r="A84" t="s">
        <v>244</v>
      </c>
      <c r="B84" s="1">
        <v>45791</v>
      </c>
      <c r="C84" t="s">
        <v>245</v>
      </c>
      <c r="D84" t="s">
        <v>246</v>
      </c>
      <c r="E84" t="s">
        <v>19</v>
      </c>
      <c r="F84" t="s">
        <v>29</v>
      </c>
      <c r="G84" t="s">
        <v>109</v>
      </c>
      <c r="H84" t="s">
        <v>43</v>
      </c>
      <c r="I84" t="s">
        <v>65</v>
      </c>
      <c r="J84">
        <v>4</v>
      </c>
      <c r="K84">
        <v>1780</v>
      </c>
      <c r="L84">
        <v>0.05</v>
      </c>
      <c r="M84">
        <v>6764</v>
      </c>
      <c r="N84">
        <v>4484.76</v>
      </c>
      <c r="O84">
        <v>2279.2399999999998</v>
      </c>
      <c r="P84" t="s">
        <v>78</v>
      </c>
      <c r="Q84">
        <v>4</v>
      </c>
      <c r="R84" t="b">
        <f>ISBLANK(Table1[[#This Row],[Region]])</f>
        <v>0</v>
      </c>
    </row>
    <row r="85" spans="1:18" x14ac:dyDescent="0.3">
      <c r="A85" t="s">
        <v>247</v>
      </c>
      <c r="B85" s="1">
        <v>45973</v>
      </c>
      <c r="C85" t="s">
        <v>206</v>
      </c>
      <c r="D85" t="s">
        <v>144</v>
      </c>
      <c r="E85" t="s">
        <v>49</v>
      </c>
      <c r="F85" t="s">
        <v>29</v>
      </c>
      <c r="G85" t="s">
        <v>21</v>
      </c>
      <c r="H85" t="s">
        <v>37</v>
      </c>
      <c r="I85" t="s">
        <v>110</v>
      </c>
      <c r="J85">
        <v>6</v>
      </c>
      <c r="K85">
        <v>8279</v>
      </c>
      <c r="L85">
        <v>0</v>
      </c>
      <c r="M85">
        <v>49674</v>
      </c>
      <c r="N85">
        <v>27617.57</v>
      </c>
      <c r="O85">
        <v>22056.43</v>
      </c>
      <c r="P85" t="s">
        <v>45</v>
      </c>
      <c r="Q85">
        <v>5</v>
      </c>
      <c r="R85" t="b">
        <f>ISBLANK(Table1[[#This Row],[Region]])</f>
        <v>0</v>
      </c>
    </row>
    <row r="86" spans="1:18" x14ac:dyDescent="0.3">
      <c r="A86" t="s">
        <v>248</v>
      </c>
      <c r="B86" s="1">
        <v>45708</v>
      </c>
      <c r="C86" t="s">
        <v>249</v>
      </c>
      <c r="D86" t="s">
        <v>250</v>
      </c>
      <c r="E86" t="s">
        <v>28</v>
      </c>
      <c r="F86" t="s">
        <v>20</v>
      </c>
      <c r="G86" t="s">
        <v>109</v>
      </c>
      <c r="H86" t="s">
        <v>37</v>
      </c>
      <c r="I86" t="s">
        <v>110</v>
      </c>
      <c r="J86">
        <v>7</v>
      </c>
      <c r="K86">
        <v>12118</v>
      </c>
      <c r="L86">
        <v>0.15</v>
      </c>
      <c r="M86">
        <v>72102.100000000006</v>
      </c>
      <c r="N86">
        <v>48565.36</v>
      </c>
      <c r="O86">
        <v>23536.74</v>
      </c>
      <c r="P86" t="s">
        <v>78</v>
      </c>
      <c r="Q86">
        <v>1</v>
      </c>
      <c r="R86" t="b">
        <f>ISBLANK(Table1[[#This Row],[Region]])</f>
        <v>0</v>
      </c>
    </row>
    <row r="87" spans="1:18" x14ac:dyDescent="0.3">
      <c r="A87" t="s">
        <v>251</v>
      </c>
      <c r="B87" s="1">
        <v>45658</v>
      </c>
      <c r="C87" t="s">
        <v>252</v>
      </c>
      <c r="D87" t="s">
        <v>253</v>
      </c>
      <c r="E87" t="s">
        <v>49</v>
      </c>
      <c r="F87" t="s">
        <v>20</v>
      </c>
      <c r="G87" t="s">
        <v>21</v>
      </c>
      <c r="H87" t="s">
        <v>37</v>
      </c>
      <c r="I87" t="s">
        <v>38</v>
      </c>
      <c r="J87">
        <v>2</v>
      </c>
      <c r="K87">
        <v>63046</v>
      </c>
      <c r="L87">
        <v>0.25</v>
      </c>
      <c r="M87">
        <v>94569</v>
      </c>
      <c r="N87">
        <v>78149.17</v>
      </c>
      <c r="O87">
        <v>16419.830000000002</v>
      </c>
      <c r="P87" t="s">
        <v>78</v>
      </c>
      <c r="Q87">
        <v>5</v>
      </c>
      <c r="R87" t="b">
        <f>ISBLANK(Table1[[#This Row],[Region]])</f>
        <v>0</v>
      </c>
    </row>
    <row r="88" spans="1:18" x14ac:dyDescent="0.3">
      <c r="A88" t="s">
        <v>254</v>
      </c>
      <c r="B88" s="1">
        <v>45948</v>
      </c>
      <c r="C88" t="s">
        <v>252</v>
      </c>
      <c r="D88" t="s">
        <v>126</v>
      </c>
      <c r="E88" t="s">
        <v>19</v>
      </c>
      <c r="F88" t="s">
        <v>20</v>
      </c>
      <c r="G88" t="s">
        <v>109</v>
      </c>
      <c r="H88" t="s">
        <v>37</v>
      </c>
      <c r="I88" t="s">
        <v>38</v>
      </c>
      <c r="J88">
        <v>1</v>
      </c>
      <c r="K88">
        <v>16054</v>
      </c>
      <c r="L88">
        <v>0</v>
      </c>
      <c r="M88">
        <v>16054</v>
      </c>
      <c r="N88">
        <v>8854.24</v>
      </c>
      <c r="O88">
        <v>7199.76</v>
      </c>
      <c r="P88" t="s">
        <v>32</v>
      </c>
      <c r="Q88">
        <v>2</v>
      </c>
      <c r="R88" t="b">
        <f>ISBLANK(Table1[[#This Row],[Region]])</f>
        <v>0</v>
      </c>
    </row>
    <row r="89" spans="1:18" x14ac:dyDescent="0.3">
      <c r="A89" t="s">
        <v>255</v>
      </c>
      <c r="B89" s="1">
        <v>45836</v>
      </c>
      <c r="C89" t="s">
        <v>256</v>
      </c>
      <c r="D89" t="s">
        <v>94</v>
      </c>
      <c r="E89" t="s">
        <v>19</v>
      </c>
      <c r="F89" t="s">
        <v>20</v>
      </c>
      <c r="G89" t="s">
        <v>50</v>
      </c>
      <c r="H89" t="s">
        <v>55</v>
      </c>
      <c r="I89" t="s">
        <v>106</v>
      </c>
      <c r="J89">
        <v>1</v>
      </c>
      <c r="K89">
        <v>14883</v>
      </c>
      <c r="L89">
        <v>0.1</v>
      </c>
      <c r="M89">
        <v>13394.7</v>
      </c>
      <c r="N89">
        <v>9366.98</v>
      </c>
      <c r="O89">
        <v>4027.72</v>
      </c>
      <c r="P89" t="s">
        <v>32</v>
      </c>
      <c r="Q89">
        <v>5</v>
      </c>
      <c r="R89" t="b">
        <f>ISBLANK(Table1[[#This Row],[Region]])</f>
        <v>0</v>
      </c>
    </row>
    <row r="90" spans="1:18" x14ac:dyDescent="0.3">
      <c r="A90" t="s">
        <v>257</v>
      </c>
      <c r="B90" s="1">
        <v>45706</v>
      </c>
      <c r="C90" t="s">
        <v>258</v>
      </c>
      <c r="D90" t="s">
        <v>204</v>
      </c>
      <c r="E90" t="s">
        <v>28</v>
      </c>
      <c r="F90" t="s">
        <v>20</v>
      </c>
      <c r="G90" t="s">
        <v>42</v>
      </c>
      <c r="H90" t="s">
        <v>37</v>
      </c>
      <c r="I90" t="s">
        <v>38</v>
      </c>
      <c r="J90">
        <v>5</v>
      </c>
      <c r="K90">
        <v>43880</v>
      </c>
      <c r="L90">
        <v>0.25</v>
      </c>
      <c r="M90">
        <v>164550</v>
      </c>
      <c r="N90">
        <v>102454.11</v>
      </c>
      <c r="O90">
        <v>62095.89</v>
      </c>
      <c r="P90" t="s">
        <v>45</v>
      </c>
      <c r="Q90">
        <v>4</v>
      </c>
      <c r="R90" t="b">
        <f>ISBLANK(Table1[[#This Row],[Region]])</f>
        <v>0</v>
      </c>
    </row>
    <row r="91" spans="1:18" x14ac:dyDescent="0.3">
      <c r="A91" t="s">
        <v>259</v>
      </c>
      <c r="B91" s="1">
        <v>45868</v>
      </c>
      <c r="C91" t="s">
        <v>260</v>
      </c>
      <c r="D91" t="s">
        <v>261</v>
      </c>
      <c r="E91" t="s">
        <v>19</v>
      </c>
      <c r="F91" t="s">
        <v>20</v>
      </c>
      <c r="G91" t="s">
        <v>42</v>
      </c>
      <c r="H91" t="s">
        <v>37</v>
      </c>
      <c r="I91" t="s">
        <v>110</v>
      </c>
      <c r="J91">
        <v>1</v>
      </c>
      <c r="K91">
        <v>23030</v>
      </c>
      <c r="L91">
        <v>0.2</v>
      </c>
      <c r="M91">
        <v>18424</v>
      </c>
      <c r="N91">
        <v>12548.86</v>
      </c>
      <c r="O91">
        <v>5875.14</v>
      </c>
      <c r="P91" t="s">
        <v>24</v>
      </c>
      <c r="Q91">
        <v>5</v>
      </c>
      <c r="R91" t="b">
        <f>ISBLANK(Table1[[#This Row],[Region]])</f>
        <v>0</v>
      </c>
    </row>
    <row r="92" spans="1:18" x14ac:dyDescent="0.3">
      <c r="A92" t="s">
        <v>262</v>
      </c>
      <c r="B92" s="1">
        <v>45851</v>
      </c>
      <c r="C92" t="s">
        <v>189</v>
      </c>
      <c r="D92" t="s">
        <v>199</v>
      </c>
      <c r="E92" t="s">
        <v>49</v>
      </c>
      <c r="F92" t="s">
        <v>20</v>
      </c>
      <c r="G92" t="s">
        <v>36</v>
      </c>
      <c r="H92" t="s">
        <v>22</v>
      </c>
      <c r="I92" t="s">
        <v>72</v>
      </c>
      <c r="J92">
        <v>3</v>
      </c>
      <c r="K92">
        <v>1266</v>
      </c>
      <c r="L92">
        <v>0.25</v>
      </c>
      <c r="M92">
        <v>2848.5</v>
      </c>
      <c r="N92">
        <v>2237.89</v>
      </c>
      <c r="O92">
        <v>610.61</v>
      </c>
      <c r="P92" t="s">
        <v>45</v>
      </c>
      <c r="Q92">
        <v>1</v>
      </c>
      <c r="R92" t="b">
        <f>ISBLANK(Table1[[#This Row],[Region]])</f>
        <v>0</v>
      </c>
    </row>
    <row r="93" spans="1:18" x14ac:dyDescent="0.3">
      <c r="A93" t="s">
        <v>263</v>
      </c>
      <c r="B93" s="1">
        <v>45819</v>
      </c>
      <c r="C93" t="s">
        <v>86</v>
      </c>
      <c r="D93" t="s">
        <v>18</v>
      </c>
      <c r="E93" t="s">
        <v>28</v>
      </c>
      <c r="F93" t="s">
        <v>29</v>
      </c>
      <c r="G93" t="s">
        <v>21</v>
      </c>
      <c r="H93" t="s">
        <v>37</v>
      </c>
      <c r="I93" t="s">
        <v>68</v>
      </c>
      <c r="J93">
        <v>7</v>
      </c>
      <c r="K93">
        <v>56691</v>
      </c>
      <c r="L93">
        <v>0.05</v>
      </c>
      <c r="M93">
        <v>376995.15</v>
      </c>
      <c r="N93">
        <v>241030.24</v>
      </c>
      <c r="O93">
        <v>135964.91</v>
      </c>
      <c r="P93" t="s">
        <v>32</v>
      </c>
      <c r="Q93">
        <v>5</v>
      </c>
      <c r="R93" t="b">
        <f>ISBLANK(Table1[[#This Row],[Region]])</f>
        <v>0</v>
      </c>
    </row>
    <row r="94" spans="1:18" x14ac:dyDescent="0.3">
      <c r="A94" t="s">
        <v>264</v>
      </c>
      <c r="B94" s="1">
        <v>45985</v>
      </c>
      <c r="C94" t="s">
        <v>256</v>
      </c>
      <c r="D94" t="s">
        <v>265</v>
      </c>
      <c r="E94" t="s">
        <v>28</v>
      </c>
      <c r="F94" t="s">
        <v>20</v>
      </c>
      <c r="G94" t="s">
        <v>50</v>
      </c>
      <c r="H94" t="s">
        <v>37</v>
      </c>
      <c r="I94" t="s">
        <v>38</v>
      </c>
      <c r="J94">
        <v>7</v>
      </c>
      <c r="K94">
        <v>19639</v>
      </c>
      <c r="L94">
        <v>0.1</v>
      </c>
      <c r="M94">
        <v>123725.7</v>
      </c>
      <c r="N94">
        <v>88688.76</v>
      </c>
      <c r="O94">
        <v>35036.94</v>
      </c>
      <c r="P94" t="s">
        <v>78</v>
      </c>
      <c r="Q94">
        <v>2</v>
      </c>
      <c r="R94" t="b">
        <f>ISBLANK(Table1[[#This Row],[Region]])</f>
        <v>0</v>
      </c>
    </row>
    <row r="95" spans="1:18" x14ac:dyDescent="0.3">
      <c r="A95" t="s">
        <v>266</v>
      </c>
      <c r="B95" s="1">
        <v>45822</v>
      </c>
      <c r="C95" t="s">
        <v>256</v>
      </c>
      <c r="D95" t="s">
        <v>267</v>
      </c>
      <c r="E95" t="s">
        <v>19</v>
      </c>
      <c r="F95" t="s">
        <v>20</v>
      </c>
      <c r="G95" t="s">
        <v>36</v>
      </c>
      <c r="H95" t="s">
        <v>22</v>
      </c>
      <c r="I95" t="s">
        <v>72</v>
      </c>
      <c r="J95">
        <v>6</v>
      </c>
      <c r="K95">
        <v>9167</v>
      </c>
      <c r="L95">
        <v>0.25</v>
      </c>
      <c r="M95">
        <v>41251.5</v>
      </c>
      <c r="N95">
        <v>33990.1</v>
      </c>
      <c r="O95">
        <v>7261.4</v>
      </c>
      <c r="P95" t="s">
        <v>45</v>
      </c>
      <c r="Q95">
        <v>2</v>
      </c>
      <c r="R95" t="b">
        <f>ISBLANK(Table1[[#This Row],[Region]])</f>
        <v>0</v>
      </c>
    </row>
    <row r="96" spans="1:18" x14ac:dyDescent="0.3">
      <c r="A96" t="s">
        <v>268</v>
      </c>
      <c r="B96" s="1">
        <v>45693</v>
      </c>
      <c r="C96" t="s">
        <v>249</v>
      </c>
      <c r="D96" t="s">
        <v>105</v>
      </c>
      <c r="E96" t="s">
        <v>19</v>
      </c>
      <c r="F96" t="s">
        <v>29</v>
      </c>
      <c r="G96" t="s">
        <v>42</v>
      </c>
      <c r="H96" t="s">
        <v>55</v>
      </c>
      <c r="I96" t="s">
        <v>106</v>
      </c>
      <c r="J96">
        <v>1</v>
      </c>
      <c r="K96">
        <v>5593</v>
      </c>
      <c r="L96">
        <v>0.1</v>
      </c>
      <c r="M96">
        <v>5033.7</v>
      </c>
      <c r="N96">
        <v>2972.48</v>
      </c>
      <c r="O96">
        <v>2061.2199999999998</v>
      </c>
      <c r="P96" t="s">
        <v>78</v>
      </c>
      <c r="Q96">
        <v>5</v>
      </c>
      <c r="R96" t="b">
        <f>ISBLANK(Table1[[#This Row],[Region]])</f>
        <v>0</v>
      </c>
    </row>
    <row r="97" spans="1:18" x14ac:dyDescent="0.3">
      <c r="A97" t="s">
        <v>269</v>
      </c>
      <c r="B97" s="1">
        <v>45950</v>
      </c>
      <c r="C97" t="s">
        <v>93</v>
      </c>
      <c r="D97" t="s">
        <v>199</v>
      </c>
      <c r="E97" t="s">
        <v>28</v>
      </c>
      <c r="F97" t="s">
        <v>29</v>
      </c>
      <c r="G97" t="s">
        <v>76</v>
      </c>
      <c r="H97" t="s">
        <v>43</v>
      </c>
      <c r="I97" t="s">
        <v>158</v>
      </c>
      <c r="J97">
        <v>7</v>
      </c>
      <c r="K97">
        <v>3286</v>
      </c>
      <c r="L97">
        <v>0.15</v>
      </c>
      <c r="M97">
        <v>19551.7</v>
      </c>
      <c r="N97">
        <v>16112.87</v>
      </c>
      <c r="O97">
        <v>3438.83</v>
      </c>
      <c r="P97" t="s">
        <v>45</v>
      </c>
      <c r="Q97">
        <v>3</v>
      </c>
      <c r="R97" t="b">
        <f>ISBLANK(Table1[[#This Row],[Region]])</f>
        <v>0</v>
      </c>
    </row>
    <row r="98" spans="1:18" x14ac:dyDescent="0.3">
      <c r="A98" t="s">
        <v>270</v>
      </c>
      <c r="B98" s="1">
        <v>45716</v>
      </c>
      <c r="C98" t="s">
        <v>271</v>
      </c>
      <c r="D98" t="s">
        <v>75</v>
      </c>
      <c r="E98" t="s">
        <v>28</v>
      </c>
      <c r="F98" t="s">
        <v>29</v>
      </c>
      <c r="G98" t="s">
        <v>102</v>
      </c>
      <c r="H98" t="s">
        <v>55</v>
      </c>
      <c r="I98" t="s">
        <v>56</v>
      </c>
      <c r="J98">
        <v>4</v>
      </c>
      <c r="K98">
        <v>3933</v>
      </c>
      <c r="L98">
        <v>0.05</v>
      </c>
      <c r="M98">
        <v>14945.4</v>
      </c>
      <c r="N98">
        <v>11010.37</v>
      </c>
      <c r="O98">
        <v>3935.03</v>
      </c>
      <c r="P98" t="s">
        <v>24</v>
      </c>
      <c r="Q98">
        <v>1</v>
      </c>
      <c r="R98" t="b">
        <f>ISBLANK(Table1[[#This Row],[Region]])</f>
        <v>0</v>
      </c>
    </row>
    <row r="99" spans="1:18" x14ac:dyDescent="0.3">
      <c r="A99" t="s">
        <v>272</v>
      </c>
      <c r="B99" s="1">
        <v>45661</v>
      </c>
      <c r="C99" t="s">
        <v>58</v>
      </c>
      <c r="D99" t="s">
        <v>273</v>
      </c>
      <c r="E99" t="s">
        <v>28</v>
      </c>
      <c r="F99" t="s">
        <v>20</v>
      </c>
      <c r="G99" t="s">
        <v>30</v>
      </c>
      <c r="H99" t="s">
        <v>55</v>
      </c>
      <c r="I99" t="s">
        <v>121</v>
      </c>
      <c r="J99">
        <v>1</v>
      </c>
      <c r="K99">
        <v>6818</v>
      </c>
      <c r="L99">
        <v>0.25</v>
      </c>
      <c r="M99">
        <v>5113.5</v>
      </c>
      <c r="N99">
        <v>3900.92</v>
      </c>
      <c r="O99">
        <v>1212.58</v>
      </c>
      <c r="P99" t="s">
        <v>78</v>
      </c>
      <c r="Q99">
        <v>5</v>
      </c>
      <c r="R99" t="b">
        <f>ISBLANK(Table1[[#This Row],[Region]])</f>
        <v>0</v>
      </c>
    </row>
    <row r="100" spans="1:18" x14ac:dyDescent="0.3">
      <c r="A100" t="s">
        <v>274</v>
      </c>
      <c r="B100" s="1">
        <v>45691</v>
      </c>
      <c r="C100" t="s">
        <v>275</v>
      </c>
      <c r="D100" t="s">
        <v>276</v>
      </c>
      <c r="E100" t="s">
        <v>19</v>
      </c>
      <c r="F100" t="s">
        <v>29</v>
      </c>
      <c r="G100" t="s">
        <v>30</v>
      </c>
      <c r="H100" t="s">
        <v>55</v>
      </c>
      <c r="I100" t="s">
        <v>56</v>
      </c>
      <c r="J100">
        <v>8</v>
      </c>
      <c r="K100">
        <v>3385</v>
      </c>
      <c r="L100">
        <v>0.15</v>
      </c>
      <c r="M100">
        <v>23018</v>
      </c>
      <c r="N100">
        <v>16443.37</v>
      </c>
      <c r="O100">
        <v>6574.63</v>
      </c>
      <c r="P100" t="s">
        <v>45</v>
      </c>
      <c r="Q100">
        <v>5</v>
      </c>
      <c r="R100" t="b">
        <f>ISBLANK(Table1[[#This Row],[Region]])</f>
        <v>0</v>
      </c>
    </row>
    <row r="101" spans="1:18" x14ac:dyDescent="0.3">
      <c r="A101" t="s">
        <v>277</v>
      </c>
      <c r="B101" s="1">
        <v>45755</v>
      </c>
      <c r="C101" t="s">
        <v>89</v>
      </c>
      <c r="D101" t="s">
        <v>278</v>
      </c>
      <c r="E101" t="s">
        <v>49</v>
      </c>
      <c r="F101" t="s">
        <v>29</v>
      </c>
      <c r="G101" t="s">
        <v>76</v>
      </c>
      <c r="H101" t="s">
        <v>55</v>
      </c>
      <c r="I101" t="s">
        <v>121</v>
      </c>
      <c r="J101">
        <v>3</v>
      </c>
      <c r="K101">
        <v>22550</v>
      </c>
      <c r="L101">
        <v>0.25</v>
      </c>
      <c r="M101">
        <v>50737.5</v>
      </c>
      <c r="N101">
        <v>40164.870000000003</v>
      </c>
      <c r="O101">
        <v>10572.63</v>
      </c>
      <c r="P101" t="s">
        <v>24</v>
      </c>
      <c r="Q101">
        <v>2</v>
      </c>
      <c r="R101" t="b">
        <f>ISBLANK(Table1[[#This Row],[Region]])</f>
        <v>0</v>
      </c>
    </row>
    <row r="102" spans="1:18" x14ac:dyDescent="0.3">
      <c r="A102" t="s">
        <v>279</v>
      </c>
      <c r="B102" s="1">
        <v>46020</v>
      </c>
      <c r="C102" t="s">
        <v>175</v>
      </c>
      <c r="D102" t="s">
        <v>87</v>
      </c>
      <c r="E102" t="s">
        <v>60</v>
      </c>
      <c r="F102" t="s">
        <v>29</v>
      </c>
      <c r="G102" t="s">
        <v>102</v>
      </c>
      <c r="H102" t="s">
        <v>22</v>
      </c>
      <c r="I102" t="s">
        <v>95</v>
      </c>
      <c r="J102">
        <v>2</v>
      </c>
      <c r="K102">
        <v>6504</v>
      </c>
      <c r="L102">
        <v>0.05</v>
      </c>
      <c r="M102">
        <v>12357.6</v>
      </c>
      <c r="N102">
        <v>7474.78</v>
      </c>
      <c r="O102">
        <v>4882.82</v>
      </c>
      <c r="P102" t="s">
        <v>32</v>
      </c>
      <c r="Q102">
        <v>5</v>
      </c>
      <c r="R102" t="b">
        <f>ISBLANK(Table1[[#This Row],[Region]])</f>
        <v>0</v>
      </c>
    </row>
    <row r="103" spans="1:18" x14ac:dyDescent="0.3">
      <c r="A103" t="s">
        <v>280</v>
      </c>
      <c r="B103" s="1">
        <v>45889</v>
      </c>
      <c r="C103" t="s">
        <v>112</v>
      </c>
      <c r="D103" t="s">
        <v>253</v>
      </c>
      <c r="E103" t="s">
        <v>60</v>
      </c>
      <c r="F103" t="s">
        <v>20</v>
      </c>
      <c r="G103" t="s">
        <v>36</v>
      </c>
      <c r="H103" t="s">
        <v>43</v>
      </c>
      <c r="I103" t="s">
        <v>44</v>
      </c>
      <c r="J103">
        <v>3</v>
      </c>
      <c r="K103">
        <v>3103</v>
      </c>
      <c r="L103">
        <v>0</v>
      </c>
      <c r="M103">
        <v>9309</v>
      </c>
      <c r="N103">
        <v>7336.48</v>
      </c>
      <c r="O103">
        <v>1972.52</v>
      </c>
      <c r="P103" t="s">
        <v>45</v>
      </c>
      <c r="Q103">
        <v>5</v>
      </c>
      <c r="R103" t="b">
        <f>ISBLANK(Table1[[#This Row],[Region]])</f>
        <v>0</v>
      </c>
    </row>
    <row r="104" spans="1:18" x14ac:dyDescent="0.3">
      <c r="A104" t="s">
        <v>281</v>
      </c>
      <c r="B104" s="1">
        <v>45994</v>
      </c>
      <c r="C104" t="s">
        <v>260</v>
      </c>
      <c r="D104" t="s">
        <v>282</v>
      </c>
      <c r="E104" t="s">
        <v>28</v>
      </c>
      <c r="F104" t="s">
        <v>29</v>
      </c>
      <c r="G104" t="s">
        <v>30</v>
      </c>
      <c r="H104" t="s">
        <v>37</v>
      </c>
      <c r="I104" t="s">
        <v>51</v>
      </c>
      <c r="J104">
        <v>4</v>
      </c>
      <c r="K104">
        <v>40856</v>
      </c>
      <c r="L104">
        <v>0.1</v>
      </c>
      <c r="M104">
        <v>147081.60000000001</v>
      </c>
      <c r="N104">
        <v>109778.13</v>
      </c>
      <c r="O104">
        <v>37303.47</v>
      </c>
      <c r="P104" t="s">
        <v>24</v>
      </c>
      <c r="Q104">
        <v>1</v>
      </c>
      <c r="R104" t="b">
        <f>ISBLANK(Table1[[#This Row],[Region]])</f>
        <v>0</v>
      </c>
    </row>
    <row r="105" spans="1:18" x14ac:dyDescent="0.3">
      <c r="A105" t="s">
        <v>283</v>
      </c>
      <c r="B105" s="1">
        <v>45682</v>
      </c>
      <c r="C105" t="s">
        <v>100</v>
      </c>
      <c r="D105" t="s">
        <v>48</v>
      </c>
      <c r="E105" t="s">
        <v>60</v>
      </c>
      <c r="F105" t="s">
        <v>29</v>
      </c>
      <c r="G105" t="s">
        <v>76</v>
      </c>
      <c r="H105" t="s">
        <v>22</v>
      </c>
      <c r="I105" t="s">
        <v>23</v>
      </c>
      <c r="J105">
        <v>1</v>
      </c>
      <c r="K105">
        <v>7584</v>
      </c>
      <c r="L105">
        <v>0.1</v>
      </c>
      <c r="M105">
        <v>6825.6</v>
      </c>
      <c r="N105">
        <v>5101.6899999999996</v>
      </c>
      <c r="O105">
        <v>1723.91</v>
      </c>
      <c r="P105" t="s">
        <v>45</v>
      </c>
      <c r="Q105">
        <v>4</v>
      </c>
      <c r="R105" t="b">
        <f>ISBLANK(Table1[[#This Row],[Region]])</f>
        <v>0</v>
      </c>
    </row>
    <row r="106" spans="1:18" x14ac:dyDescent="0.3">
      <c r="A106" t="s">
        <v>284</v>
      </c>
      <c r="B106" s="1">
        <v>45962</v>
      </c>
      <c r="C106" t="s">
        <v>285</v>
      </c>
      <c r="D106" t="s">
        <v>286</v>
      </c>
      <c r="E106" t="s">
        <v>19</v>
      </c>
      <c r="F106" t="s">
        <v>20</v>
      </c>
      <c r="G106" t="s">
        <v>36</v>
      </c>
      <c r="H106" t="s">
        <v>55</v>
      </c>
      <c r="I106" t="s">
        <v>56</v>
      </c>
      <c r="J106">
        <v>2</v>
      </c>
      <c r="K106">
        <v>3026</v>
      </c>
      <c r="L106">
        <v>0.2</v>
      </c>
      <c r="M106">
        <v>4841.6000000000004</v>
      </c>
      <c r="N106">
        <v>2809.2</v>
      </c>
      <c r="O106">
        <v>2032.4</v>
      </c>
      <c r="P106" t="s">
        <v>24</v>
      </c>
      <c r="Q106">
        <v>4</v>
      </c>
      <c r="R106" t="b">
        <f>ISBLANK(Table1[[#This Row],[Region]])</f>
        <v>0</v>
      </c>
    </row>
    <row r="107" spans="1:18" x14ac:dyDescent="0.3">
      <c r="A107" t="s">
        <v>287</v>
      </c>
      <c r="B107" s="1">
        <v>45855</v>
      </c>
      <c r="C107" t="s">
        <v>245</v>
      </c>
      <c r="D107" t="s">
        <v>126</v>
      </c>
      <c r="E107" t="s">
        <v>49</v>
      </c>
      <c r="F107" t="s">
        <v>20</v>
      </c>
      <c r="G107" t="s">
        <v>50</v>
      </c>
      <c r="H107" t="s">
        <v>22</v>
      </c>
      <c r="I107" t="s">
        <v>72</v>
      </c>
      <c r="J107">
        <v>3</v>
      </c>
      <c r="K107">
        <v>11064</v>
      </c>
      <c r="L107">
        <v>0.2</v>
      </c>
      <c r="M107">
        <v>26553.599999999999</v>
      </c>
      <c r="N107">
        <v>21255.67</v>
      </c>
      <c r="O107">
        <v>5297.93</v>
      </c>
      <c r="P107" t="s">
        <v>78</v>
      </c>
      <c r="Q107">
        <v>3</v>
      </c>
      <c r="R107" t="b">
        <f>ISBLANK(Table1[[#This Row],[Region]])</f>
        <v>0</v>
      </c>
    </row>
    <row r="108" spans="1:18" x14ac:dyDescent="0.3">
      <c r="A108" t="s">
        <v>288</v>
      </c>
      <c r="B108" s="1">
        <v>45939</v>
      </c>
      <c r="C108" t="s">
        <v>289</v>
      </c>
      <c r="D108" t="s">
        <v>176</v>
      </c>
      <c r="E108" t="s">
        <v>49</v>
      </c>
      <c r="F108" t="s">
        <v>20</v>
      </c>
      <c r="G108" t="s">
        <v>109</v>
      </c>
      <c r="H108" t="s">
        <v>37</v>
      </c>
      <c r="I108" t="s">
        <v>38</v>
      </c>
      <c r="J108">
        <v>2</v>
      </c>
      <c r="K108">
        <v>3725</v>
      </c>
      <c r="L108">
        <v>0.05</v>
      </c>
      <c r="M108">
        <v>7077.5</v>
      </c>
      <c r="N108">
        <v>5266.56</v>
      </c>
      <c r="O108">
        <v>1810.94</v>
      </c>
      <c r="P108" t="s">
        <v>78</v>
      </c>
      <c r="Q108">
        <v>5</v>
      </c>
      <c r="R108" t="b">
        <f>ISBLANK(Table1[[#This Row],[Region]])</f>
        <v>0</v>
      </c>
    </row>
    <row r="109" spans="1:18" x14ac:dyDescent="0.3">
      <c r="A109" t="s">
        <v>290</v>
      </c>
      <c r="B109" s="1">
        <v>45739</v>
      </c>
      <c r="C109" t="s">
        <v>291</v>
      </c>
      <c r="D109" t="s">
        <v>199</v>
      </c>
      <c r="E109" t="s">
        <v>19</v>
      </c>
      <c r="F109" t="s">
        <v>20</v>
      </c>
      <c r="G109" t="s">
        <v>102</v>
      </c>
      <c r="H109" t="s">
        <v>37</v>
      </c>
      <c r="I109" t="s">
        <v>68</v>
      </c>
      <c r="J109">
        <v>8</v>
      </c>
      <c r="K109">
        <v>9354</v>
      </c>
      <c r="L109">
        <v>0.1</v>
      </c>
      <c r="M109">
        <v>67348.800000000003</v>
      </c>
      <c r="N109">
        <v>58028.26</v>
      </c>
      <c r="O109">
        <v>9320.5400000000009</v>
      </c>
      <c r="P109" t="s">
        <v>32</v>
      </c>
      <c r="Q109">
        <v>3</v>
      </c>
      <c r="R109" t="b">
        <f>ISBLANK(Table1[[#This Row],[Region]])</f>
        <v>0</v>
      </c>
    </row>
    <row r="110" spans="1:18" x14ac:dyDescent="0.3">
      <c r="A110" t="s">
        <v>292</v>
      </c>
      <c r="B110" s="1">
        <v>45958</v>
      </c>
      <c r="C110" t="s">
        <v>133</v>
      </c>
      <c r="D110" t="s">
        <v>108</v>
      </c>
      <c r="E110" t="s">
        <v>49</v>
      </c>
      <c r="F110" t="s">
        <v>20</v>
      </c>
      <c r="G110" t="s">
        <v>21</v>
      </c>
      <c r="H110" t="s">
        <v>43</v>
      </c>
      <c r="I110" t="s">
        <v>65</v>
      </c>
      <c r="J110">
        <v>6</v>
      </c>
      <c r="K110">
        <v>4932</v>
      </c>
      <c r="L110">
        <v>0.1</v>
      </c>
      <c r="M110">
        <v>26632.799999999999</v>
      </c>
      <c r="N110">
        <v>19575.73</v>
      </c>
      <c r="O110">
        <v>7057.07</v>
      </c>
      <c r="P110" t="s">
        <v>32</v>
      </c>
      <c r="Q110">
        <v>4</v>
      </c>
      <c r="R110" t="b">
        <f>ISBLANK(Table1[[#This Row],[Region]])</f>
        <v>0</v>
      </c>
    </row>
    <row r="111" spans="1:18" x14ac:dyDescent="0.3">
      <c r="A111" t="s">
        <v>293</v>
      </c>
      <c r="B111" s="1">
        <v>45867</v>
      </c>
      <c r="C111" t="s">
        <v>294</v>
      </c>
      <c r="D111" t="s">
        <v>187</v>
      </c>
      <c r="E111" t="s">
        <v>19</v>
      </c>
      <c r="F111" t="s">
        <v>29</v>
      </c>
      <c r="G111" t="s">
        <v>50</v>
      </c>
      <c r="H111" t="s">
        <v>43</v>
      </c>
      <c r="I111" t="s">
        <v>44</v>
      </c>
      <c r="J111">
        <v>1</v>
      </c>
      <c r="K111">
        <v>4492</v>
      </c>
      <c r="L111">
        <v>0.25</v>
      </c>
      <c r="M111">
        <v>3369</v>
      </c>
      <c r="N111">
        <v>2207.33</v>
      </c>
      <c r="O111">
        <v>1161.67</v>
      </c>
      <c r="P111" t="s">
        <v>32</v>
      </c>
      <c r="Q111">
        <v>2</v>
      </c>
      <c r="R111" t="b">
        <f>ISBLANK(Table1[[#This Row],[Region]])</f>
        <v>0</v>
      </c>
    </row>
    <row r="112" spans="1:18" x14ac:dyDescent="0.3">
      <c r="A112" t="s">
        <v>295</v>
      </c>
      <c r="B112" s="1">
        <v>45753</v>
      </c>
      <c r="C112" t="s">
        <v>112</v>
      </c>
      <c r="D112" t="s">
        <v>41</v>
      </c>
      <c r="E112" t="s">
        <v>19</v>
      </c>
      <c r="F112" t="s">
        <v>29</v>
      </c>
      <c r="G112" t="s">
        <v>76</v>
      </c>
      <c r="H112" t="s">
        <v>43</v>
      </c>
      <c r="I112" t="s">
        <v>158</v>
      </c>
      <c r="J112">
        <v>2</v>
      </c>
      <c r="K112">
        <v>562</v>
      </c>
      <c r="L112">
        <v>0.2</v>
      </c>
      <c r="M112">
        <v>899.2</v>
      </c>
      <c r="N112">
        <v>651.51</v>
      </c>
      <c r="O112">
        <v>247.69</v>
      </c>
      <c r="P112" t="s">
        <v>32</v>
      </c>
      <c r="Q112">
        <v>1</v>
      </c>
      <c r="R112" t="b">
        <f>ISBLANK(Table1[[#This Row],[Region]])</f>
        <v>0</v>
      </c>
    </row>
    <row r="113" spans="1:18" x14ac:dyDescent="0.3">
      <c r="A113" t="s">
        <v>296</v>
      </c>
      <c r="B113" s="1">
        <v>45923</v>
      </c>
      <c r="C113" t="s">
        <v>116</v>
      </c>
      <c r="D113" t="s">
        <v>126</v>
      </c>
      <c r="E113" t="s">
        <v>60</v>
      </c>
      <c r="F113" t="s">
        <v>20</v>
      </c>
      <c r="G113" t="s">
        <v>50</v>
      </c>
      <c r="H113" t="s">
        <v>55</v>
      </c>
      <c r="I113" t="s">
        <v>121</v>
      </c>
      <c r="J113">
        <v>4</v>
      </c>
      <c r="K113">
        <v>15874</v>
      </c>
      <c r="L113">
        <v>0.15</v>
      </c>
      <c r="M113">
        <v>53971.6</v>
      </c>
      <c r="N113">
        <v>47211.519999999997</v>
      </c>
      <c r="O113">
        <v>6760.08</v>
      </c>
      <c r="P113" t="s">
        <v>24</v>
      </c>
      <c r="Q113">
        <v>1</v>
      </c>
      <c r="R113" t="b">
        <f>ISBLANK(Table1[[#This Row],[Region]])</f>
        <v>0</v>
      </c>
    </row>
    <row r="114" spans="1:18" x14ac:dyDescent="0.3">
      <c r="A114" t="s">
        <v>297</v>
      </c>
      <c r="B114" s="1">
        <v>45803</v>
      </c>
      <c r="C114" t="s">
        <v>260</v>
      </c>
      <c r="D114" t="s">
        <v>276</v>
      </c>
      <c r="E114" t="s">
        <v>49</v>
      </c>
      <c r="F114" t="s">
        <v>29</v>
      </c>
      <c r="G114" t="s">
        <v>42</v>
      </c>
      <c r="H114" t="s">
        <v>37</v>
      </c>
      <c r="I114" t="s">
        <v>68</v>
      </c>
      <c r="J114">
        <v>5</v>
      </c>
      <c r="K114">
        <v>27113</v>
      </c>
      <c r="L114">
        <v>0.25</v>
      </c>
      <c r="M114">
        <v>101673.75</v>
      </c>
      <c r="N114">
        <v>84534.73</v>
      </c>
      <c r="O114">
        <v>17139.02</v>
      </c>
      <c r="P114" t="s">
        <v>24</v>
      </c>
      <c r="Q114">
        <v>1</v>
      </c>
      <c r="R114" t="b">
        <f>ISBLANK(Table1[[#This Row],[Region]])</f>
        <v>0</v>
      </c>
    </row>
    <row r="115" spans="1:18" x14ac:dyDescent="0.3">
      <c r="A115" t="s">
        <v>298</v>
      </c>
      <c r="B115" s="1">
        <v>45718</v>
      </c>
      <c r="C115" t="s">
        <v>206</v>
      </c>
      <c r="D115" t="s">
        <v>238</v>
      </c>
      <c r="E115" t="s">
        <v>19</v>
      </c>
      <c r="F115" t="s">
        <v>29</v>
      </c>
      <c r="G115" t="s">
        <v>36</v>
      </c>
      <c r="H115" t="s">
        <v>37</v>
      </c>
      <c r="I115" t="s">
        <v>38</v>
      </c>
      <c r="J115">
        <v>8</v>
      </c>
      <c r="K115">
        <v>10033</v>
      </c>
      <c r="L115">
        <v>0.1</v>
      </c>
      <c r="M115">
        <v>72237.600000000006</v>
      </c>
      <c r="N115">
        <v>62376.24</v>
      </c>
      <c r="O115">
        <v>9861.36</v>
      </c>
      <c r="P115" t="s">
        <v>32</v>
      </c>
      <c r="Q115">
        <v>3</v>
      </c>
      <c r="R115" t="b">
        <f>ISBLANK(Table1[[#This Row],[Region]])</f>
        <v>0</v>
      </c>
    </row>
    <row r="116" spans="1:18" x14ac:dyDescent="0.3">
      <c r="A116" t="s">
        <v>299</v>
      </c>
      <c r="B116" s="1">
        <v>45805</v>
      </c>
      <c r="C116" t="s">
        <v>300</v>
      </c>
      <c r="D116" t="s">
        <v>64</v>
      </c>
      <c r="E116" t="s">
        <v>49</v>
      </c>
      <c r="F116" t="s">
        <v>20</v>
      </c>
      <c r="G116" t="s">
        <v>102</v>
      </c>
      <c r="H116" t="s">
        <v>37</v>
      </c>
      <c r="I116" t="s">
        <v>51</v>
      </c>
      <c r="J116">
        <v>1</v>
      </c>
      <c r="K116">
        <v>55957</v>
      </c>
      <c r="L116">
        <v>0.15</v>
      </c>
      <c r="M116">
        <v>47563.45</v>
      </c>
      <c r="N116">
        <v>29796.2</v>
      </c>
      <c r="O116">
        <v>17767.25</v>
      </c>
      <c r="P116" t="s">
        <v>24</v>
      </c>
      <c r="Q116">
        <v>2</v>
      </c>
      <c r="R116" t="b">
        <f>ISBLANK(Table1[[#This Row],[Region]])</f>
        <v>0</v>
      </c>
    </row>
    <row r="117" spans="1:18" x14ac:dyDescent="0.3">
      <c r="A117" t="s">
        <v>301</v>
      </c>
      <c r="B117" s="1">
        <v>45919</v>
      </c>
      <c r="C117" t="s">
        <v>198</v>
      </c>
      <c r="D117" t="s">
        <v>71</v>
      </c>
      <c r="E117" t="s">
        <v>19</v>
      </c>
      <c r="F117" t="s">
        <v>20</v>
      </c>
      <c r="G117" t="s">
        <v>36</v>
      </c>
      <c r="H117" t="s">
        <v>55</v>
      </c>
      <c r="I117" t="s">
        <v>121</v>
      </c>
      <c r="J117">
        <v>2</v>
      </c>
      <c r="K117">
        <v>1400</v>
      </c>
      <c r="L117">
        <v>0.05</v>
      </c>
      <c r="M117">
        <v>2660</v>
      </c>
      <c r="N117">
        <v>2147.3200000000002</v>
      </c>
      <c r="O117">
        <v>512.67999999999995</v>
      </c>
      <c r="P117" t="s">
        <v>24</v>
      </c>
      <c r="Q117">
        <v>1</v>
      </c>
      <c r="R117" t="b">
        <f>ISBLANK(Table1[[#This Row],[Region]])</f>
        <v>0</v>
      </c>
    </row>
    <row r="118" spans="1:18" x14ac:dyDescent="0.3">
      <c r="A118" t="s">
        <v>302</v>
      </c>
      <c r="B118" s="1">
        <v>45995</v>
      </c>
      <c r="C118" t="s">
        <v>260</v>
      </c>
      <c r="D118" t="s">
        <v>286</v>
      </c>
      <c r="E118" t="s">
        <v>19</v>
      </c>
      <c r="F118" t="s">
        <v>20</v>
      </c>
      <c r="G118" t="s">
        <v>21</v>
      </c>
      <c r="H118" t="s">
        <v>22</v>
      </c>
      <c r="I118" t="s">
        <v>95</v>
      </c>
      <c r="J118">
        <v>1</v>
      </c>
      <c r="K118">
        <v>2856</v>
      </c>
      <c r="L118">
        <v>0.05</v>
      </c>
      <c r="M118">
        <v>2713.2</v>
      </c>
      <c r="N118">
        <v>1953.59</v>
      </c>
      <c r="O118">
        <v>759.61</v>
      </c>
      <c r="P118" t="s">
        <v>78</v>
      </c>
      <c r="Q118">
        <v>5</v>
      </c>
      <c r="R118" t="b">
        <f>ISBLANK(Table1[[#This Row],[Region]])</f>
        <v>0</v>
      </c>
    </row>
    <row r="119" spans="1:18" x14ac:dyDescent="0.3">
      <c r="A119" t="s">
        <v>303</v>
      </c>
      <c r="B119" s="1">
        <v>45924</v>
      </c>
      <c r="C119" t="s">
        <v>304</v>
      </c>
      <c r="D119" t="s">
        <v>265</v>
      </c>
      <c r="E119" t="s">
        <v>28</v>
      </c>
      <c r="F119" t="s">
        <v>29</v>
      </c>
      <c r="G119" t="s">
        <v>76</v>
      </c>
      <c r="H119" t="s">
        <v>37</v>
      </c>
      <c r="I119" t="s">
        <v>68</v>
      </c>
      <c r="J119">
        <v>1</v>
      </c>
      <c r="K119">
        <v>44796</v>
      </c>
      <c r="L119">
        <v>0.25</v>
      </c>
      <c r="M119">
        <v>33597</v>
      </c>
      <c r="N119">
        <v>28014.58</v>
      </c>
      <c r="O119">
        <v>5582.42</v>
      </c>
      <c r="P119" t="s">
        <v>24</v>
      </c>
      <c r="Q119">
        <v>3</v>
      </c>
      <c r="R119" t="b">
        <f>ISBLANK(Table1[[#This Row],[Region]])</f>
        <v>0</v>
      </c>
    </row>
    <row r="120" spans="1:18" x14ac:dyDescent="0.3">
      <c r="A120" t="s">
        <v>305</v>
      </c>
      <c r="B120" s="1">
        <v>45883</v>
      </c>
      <c r="C120" t="s">
        <v>63</v>
      </c>
      <c r="D120" t="s">
        <v>306</v>
      </c>
      <c r="E120" t="s">
        <v>60</v>
      </c>
      <c r="F120" t="s">
        <v>29</v>
      </c>
      <c r="G120" t="s">
        <v>102</v>
      </c>
      <c r="H120" t="s">
        <v>55</v>
      </c>
      <c r="I120" t="s">
        <v>61</v>
      </c>
      <c r="J120">
        <v>2</v>
      </c>
      <c r="K120">
        <v>20333</v>
      </c>
      <c r="L120">
        <v>0</v>
      </c>
      <c r="M120">
        <v>40666</v>
      </c>
      <c r="N120">
        <v>29758.68</v>
      </c>
      <c r="O120">
        <v>10907.32</v>
      </c>
      <c r="P120" t="s">
        <v>24</v>
      </c>
      <c r="Q120">
        <v>2</v>
      </c>
      <c r="R120" t="b">
        <f>ISBLANK(Table1[[#This Row],[Region]])</f>
        <v>0</v>
      </c>
    </row>
    <row r="121" spans="1:18" x14ac:dyDescent="0.3">
      <c r="A121" t="s">
        <v>307</v>
      </c>
      <c r="B121" s="1">
        <v>45738</v>
      </c>
      <c r="C121" t="s">
        <v>308</v>
      </c>
      <c r="D121" t="s">
        <v>181</v>
      </c>
      <c r="E121" t="s">
        <v>49</v>
      </c>
      <c r="F121" t="s">
        <v>29</v>
      </c>
      <c r="G121" t="s">
        <v>76</v>
      </c>
      <c r="H121" t="s">
        <v>55</v>
      </c>
      <c r="I121" t="s">
        <v>121</v>
      </c>
      <c r="J121">
        <v>4</v>
      </c>
      <c r="K121">
        <v>3182</v>
      </c>
      <c r="L121">
        <v>0.15</v>
      </c>
      <c r="M121">
        <v>10818.8</v>
      </c>
      <c r="N121">
        <v>6222.14</v>
      </c>
      <c r="O121">
        <v>4596.66</v>
      </c>
      <c r="P121" t="s">
        <v>78</v>
      </c>
      <c r="Q121">
        <v>2</v>
      </c>
      <c r="R121" t="b">
        <f>ISBLANK(Table1[[#This Row],[Region]])</f>
        <v>0</v>
      </c>
    </row>
    <row r="122" spans="1:18" x14ac:dyDescent="0.3">
      <c r="A122" t="s">
        <v>309</v>
      </c>
      <c r="B122" s="1">
        <v>45919</v>
      </c>
      <c r="C122" t="s">
        <v>63</v>
      </c>
      <c r="D122" t="s">
        <v>120</v>
      </c>
      <c r="E122" t="s">
        <v>19</v>
      </c>
      <c r="F122" t="s">
        <v>29</v>
      </c>
      <c r="G122" t="s">
        <v>50</v>
      </c>
      <c r="H122" t="s">
        <v>22</v>
      </c>
      <c r="I122" t="s">
        <v>72</v>
      </c>
      <c r="J122">
        <v>2</v>
      </c>
      <c r="K122">
        <v>8294</v>
      </c>
      <c r="L122">
        <v>0.2</v>
      </c>
      <c r="M122">
        <v>13270.4</v>
      </c>
      <c r="N122">
        <v>8468.1</v>
      </c>
      <c r="O122">
        <v>4802.3</v>
      </c>
      <c r="P122" t="s">
        <v>24</v>
      </c>
      <c r="Q122">
        <v>3</v>
      </c>
      <c r="R122" t="b">
        <f>ISBLANK(Table1[[#This Row],[Region]])</f>
        <v>0</v>
      </c>
    </row>
    <row r="123" spans="1:18" x14ac:dyDescent="0.3">
      <c r="A123" t="s">
        <v>310</v>
      </c>
      <c r="B123" s="1">
        <v>46013</v>
      </c>
      <c r="C123" t="s">
        <v>252</v>
      </c>
      <c r="D123" t="s">
        <v>311</v>
      </c>
      <c r="E123" t="s">
        <v>19</v>
      </c>
      <c r="F123" t="s">
        <v>29</v>
      </c>
      <c r="G123" t="s">
        <v>36</v>
      </c>
      <c r="H123" t="s">
        <v>22</v>
      </c>
      <c r="I123" t="s">
        <v>23</v>
      </c>
      <c r="J123">
        <v>5</v>
      </c>
      <c r="K123">
        <v>12604</v>
      </c>
      <c r="L123">
        <v>0</v>
      </c>
      <c r="M123">
        <v>63020</v>
      </c>
      <c r="N123">
        <v>54003.72</v>
      </c>
      <c r="O123">
        <v>9016.2800000000007</v>
      </c>
      <c r="P123" t="s">
        <v>24</v>
      </c>
      <c r="Q123">
        <v>3</v>
      </c>
      <c r="R123" t="b">
        <f>ISBLANK(Table1[[#This Row],[Region]])</f>
        <v>0</v>
      </c>
    </row>
    <row r="124" spans="1:18" x14ac:dyDescent="0.3">
      <c r="A124" t="s">
        <v>312</v>
      </c>
      <c r="B124" s="1">
        <v>46020</v>
      </c>
      <c r="C124" t="s">
        <v>313</v>
      </c>
      <c r="D124" t="s">
        <v>314</v>
      </c>
      <c r="E124" t="s">
        <v>60</v>
      </c>
      <c r="F124" t="s">
        <v>20</v>
      </c>
      <c r="G124" t="s">
        <v>30</v>
      </c>
      <c r="H124" t="s">
        <v>55</v>
      </c>
      <c r="I124" t="s">
        <v>121</v>
      </c>
      <c r="J124">
        <v>3</v>
      </c>
      <c r="K124">
        <v>22037</v>
      </c>
      <c r="L124">
        <v>0.05</v>
      </c>
      <c r="M124">
        <v>62805.45</v>
      </c>
      <c r="N124">
        <v>37213.93</v>
      </c>
      <c r="O124">
        <v>25591.52</v>
      </c>
      <c r="P124" t="s">
        <v>45</v>
      </c>
      <c r="Q124">
        <v>2</v>
      </c>
      <c r="R124" t="b">
        <f>ISBLANK(Table1[[#This Row],[Region]])</f>
        <v>0</v>
      </c>
    </row>
    <row r="125" spans="1:18" x14ac:dyDescent="0.3">
      <c r="A125" t="s">
        <v>315</v>
      </c>
      <c r="B125" s="1">
        <v>45770</v>
      </c>
      <c r="C125" t="s">
        <v>275</v>
      </c>
      <c r="D125" t="s">
        <v>243</v>
      </c>
      <c r="E125" t="s">
        <v>49</v>
      </c>
      <c r="F125" t="s">
        <v>29</v>
      </c>
      <c r="G125" t="s">
        <v>21</v>
      </c>
      <c r="H125" t="s">
        <v>37</v>
      </c>
      <c r="I125" t="s">
        <v>38</v>
      </c>
      <c r="J125">
        <v>4</v>
      </c>
      <c r="K125">
        <v>1274</v>
      </c>
      <c r="L125">
        <v>0.2</v>
      </c>
      <c r="M125">
        <v>4076.8</v>
      </c>
      <c r="N125">
        <v>3072.22</v>
      </c>
      <c r="O125">
        <v>1004.58</v>
      </c>
      <c r="P125" t="s">
        <v>45</v>
      </c>
      <c r="Q125">
        <v>5</v>
      </c>
      <c r="R125" t="b">
        <f>ISBLANK(Table1[[#This Row],[Region]])</f>
        <v>0</v>
      </c>
    </row>
    <row r="126" spans="1:18" x14ac:dyDescent="0.3">
      <c r="A126" t="s">
        <v>316</v>
      </c>
      <c r="B126" s="1">
        <v>45976</v>
      </c>
      <c r="C126" t="s">
        <v>317</v>
      </c>
      <c r="D126" t="s">
        <v>105</v>
      </c>
      <c r="E126" t="s">
        <v>19</v>
      </c>
      <c r="F126" t="s">
        <v>29</v>
      </c>
      <c r="G126" t="s">
        <v>76</v>
      </c>
      <c r="H126" t="s">
        <v>22</v>
      </c>
      <c r="I126" t="s">
        <v>95</v>
      </c>
      <c r="J126">
        <v>3</v>
      </c>
      <c r="K126">
        <v>11487</v>
      </c>
      <c r="L126">
        <v>0.05</v>
      </c>
      <c r="M126">
        <v>32737.95</v>
      </c>
      <c r="N126">
        <v>22675.599999999999</v>
      </c>
      <c r="O126">
        <v>10062.35</v>
      </c>
      <c r="P126" t="s">
        <v>24</v>
      </c>
      <c r="Q126">
        <v>4</v>
      </c>
      <c r="R126" t="b">
        <f>ISBLANK(Table1[[#This Row],[Region]])</f>
        <v>0</v>
      </c>
    </row>
    <row r="127" spans="1:18" x14ac:dyDescent="0.3">
      <c r="A127" t="s">
        <v>318</v>
      </c>
      <c r="B127" s="1">
        <v>45850</v>
      </c>
      <c r="C127" t="s">
        <v>319</v>
      </c>
      <c r="D127" t="s">
        <v>147</v>
      </c>
      <c r="E127" t="s">
        <v>28</v>
      </c>
      <c r="F127" t="s">
        <v>20</v>
      </c>
      <c r="G127" t="s">
        <v>30</v>
      </c>
      <c r="H127" t="s">
        <v>22</v>
      </c>
      <c r="I127" t="s">
        <v>72</v>
      </c>
      <c r="J127">
        <v>2</v>
      </c>
      <c r="K127">
        <v>14225</v>
      </c>
      <c r="L127">
        <v>0</v>
      </c>
      <c r="M127">
        <v>28450</v>
      </c>
      <c r="N127">
        <v>22885.89</v>
      </c>
      <c r="O127">
        <v>5564.11</v>
      </c>
      <c r="P127" t="s">
        <v>32</v>
      </c>
      <c r="Q127">
        <v>5</v>
      </c>
      <c r="R127" t="b">
        <f>ISBLANK(Table1[[#This Row],[Region]])</f>
        <v>0</v>
      </c>
    </row>
    <row r="128" spans="1:18" x14ac:dyDescent="0.3">
      <c r="A128" t="s">
        <v>320</v>
      </c>
      <c r="B128" s="1">
        <v>45690</v>
      </c>
      <c r="C128" t="s">
        <v>137</v>
      </c>
      <c r="D128" t="s">
        <v>306</v>
      </c>
      <c r="E128" t="s">
        <v>28</v>
      </c>
      <c r="F128" t="s">
        <v>20</v>
      </c>
      <c r="G128" t="s">
        <v>42</v>
      </c>
      <c r="H128" t="s">
        <v>22</v>
      </c>
      <c r="I128" t="s">
        <v>31</v>
      </c>
      <c r="J128">
        <v>3</v>
      </c>
      <c r="K128">
        <v>9038</v>
      </c>
      <c r="L128">
        <v>0.15</v>
      </c>
      <c r="M128">
        <v>23046.9</v>
      </c>
      <c r="N128">
        <v>12862.79</v>
      </c>
      <c r="O128">
        <v>10184.11</v>
      </c>
      <c r="P128" t="s">
        <v>32</v>
      </c>
      <c r="Q128">
        <v>2</v>
      </c>
      <c r="R128" t="b">
        <f>ISBLANK(Table1[[#This Row],[Region]])</f>
        <v>0</v>
      </c>
    </row>
    <row r="129" spans="1:18" x14ac:dyDescent="0.3">
      <c r="A129" t="s">
        <v>321</v>
      </c>
      <c r="B129" s="1">
        <v>45696</v>
      </c>
      <c r="C129" t="s">
        <v>322</v>
      </c>
      <c r="D129" t="s">
        <v>323</v>
      </c>
      <c r="E129" t="s">
        <v>49</v>
      </c>
      <c r="F129" t="s">
        <v>20</v>
      </c>
      <c r="G129" t="s">
        <v>50</v>
      </c>
      <c r="H129" t="s">
        <v>55</v>
      </c>
      <c r="I129" t="s">
        <v>56</v>
      </c>
      <c r="J129">
        <v>5</v>
      </c>
      <c r="K129">
        <v>23635</v>
      </c>
      <c r="L129">
        <v>0.1</v>
      </c>
      <c r="M129">
        <v>106357.5</v>
      </c>
      <c r="N129">
        <v>74339.399999999994</v>
      </c>
      <c r="O129">
        <v>32018.1</v>
      </c>
      <c r="P129" t="s">
        <v>45</v>
      </c>
      <c r="Q129">
        <v>2</v>
      </c>
      <c r="R129" t="b">
        <f>ISBLANK(Table1[[#This Row],[Region]])</f>
        <v>0</v>
      </c>
    </row>
    <row r="130" spans="1:18" x14ac:dyDescent="0.3">
      <c r="A130" t="s">
        <v>324</v>
      </c>
      <c r="B130" s="1">
        <v>45893</v>
      </c>
      <c r="C130" t="s">
        <v>304</v>
      </c>
      <c r="D130" t="s">
        <v>140</v>
      </c>
      <c r="E130" t="s">
        <v>19</v>
      </c>
      <c r="F130" t="s">
        <v>20</v>
      </c>
      <c r="G130" t="s">
        <v>36</v>
      </c>
      <c r="H130" t="s">
        <v>55</v>
      </c>
      <c r="I130" t="s">
        <v>61</v>
      </c>
      <c r="J130">
        <v>6</v>
      </c>
      <c r="K130">
        <v>3718</v>
      </c>
      <c r="L130">
        <v>0.1</v>
      </c>
      <c r="M130">
        <v>20077.2</v>
      </c>
      <c r="N130">
        <v>17342.38</v>
      </c>
      <c r="O130">
        <v>2734.82</v>
      </c>
      <c r="P130" t="s">
        <v>45</v>
      </c>
      <c r="Q130">
        <v>5</v>
      </c>
      <c r="R130" t="b">
        <f>ISBLANK(Table1[[#This Row],[Region]])</f>
        <v>0</v>
      </c>
    </row>
    <row r="131" spans="1:18" x14ac:dyDescent="0.3">
      <c r="A131" t="s">
        <v>325</v>
      </c>
      <c r="B131" s="1">
        <v>45715</v>
      </c>
      <c r="C131" t="s">
        <v>93</v>
      </c>
      <c r="D131" t="s">
        <v>35</v>
      </c>
      <c r="E131" t="s">
        <v>19</v>
      </c>
      <c r="F131" t="s">
        <v>20</v>
      </c>
      <c r="G131" t="s">
        <v>102</v>
      </c>
      <c r="H131" t="s">
        <v>22</v>
      </c>
      <c r="I131" t="s">
        <v>95</v>
      </c>
      <c r="J131">
        <v>3</v>
      </c>
      <c r="K131">
        <v>4331</v>
      </c>
      <c r="L131">
        <v>0.1</v>
      </c>
      <c r="M131">
        <v>11693.7</v>
      </c>
      <c r="N131">
        <v>7635.33</v>
      </c>
      <c r="O131">
        <v>4058.37</v>
      </c>
      <c r="P131" t="s">
        <v>45</v>
      </c>
      <c r="Q131">
        <v>1</v>
      </c>
      <c r="R131" t="b">
        <f>ISBLANK(Table1[[#This Row],[Region]])</f>
        <v>0</v>
      </c>
    </row>
    <row r="132" spans="1:18" x14ac:dyDescent="0.3">
      <c r="A132" t="s">
        <v>326</v>
      </c>
      <c r="B132" s="1">
        <v>45802</v>
      </c>
      <c r="C132" t="s">
        <v>300</v>
      </c>
      <c r="D132" t="s">
        <v>278</v>
      </c>
      <c r="E132" t="s">
        <v>60</v>
      </c>
      <c r="F132" t="s">
        <v>20</v>
      </c>
      <c r="G132" t="s">
        <v>102</v>
      </c>
      <c r="H132" t="s">
        <v>22</v>
      </c>
      <c r="I132" t="s">
        <v>72</v>
      </c>
      <c r="J132">
        <v>2</v>
      </c>
      <c r="K132">
        <v>13006</v>
      </c>
      <c r="L132">
        <v>0.1</v>
      </c>
      <c r="M132">
        <v>23410.799999999999</v>
      </c>
      <c r="N132">
        <v>20355.78</v>
      </c>
      <c r="O132">
        <v>3055.02</v>
      </c>
      <c r="P132" t="s">
        <v>32</v>
      </c>
      <c r="Q132">
        <v>2</v>
      </c>
      <c r="R132" t="b">
        <f>ISBLANK(Table1[[#This Row],[Region]])</f>
        <v>0</v>
      </c>
    </row>
    <row r="133" spans="1:18" x14ac:dyDescent="0.3">
      <c r="A133" t="s">
        <v>327</v>
      </c>
      <c r="B133" s="1">
        <v>45703</v>
      </c>
      <c r="C133" t="s">
        <v>322</v>
      </c>
      <c r="D133" t="s">
        <v>126</v>
      </c>
      <c r="E133" t="s">
        <v>28</v>
      </c>
      <c r="F133" t="s">
        <v>29</v>
      </c>
      <c r="G133" t="s">
        <v>36</v>
      </c>
      <c r="H133" t="s">
        <v>43</v>
      </c>
      <c r="I133" t="s">
        <v>77</v>
      </c>
      <c r="J133">
        <v>5</v>
      </c>
      <c r="K133">
        <v>1397</v>
      </c>
      <c r="L133">
        <v>0.2</v>
      </c>
      <c r="M133">
        <v>5588</v>
      </c>
      <c r="N133">
        <v>4754.8599999999997</v>
      </c>
      <c r="O133">
        <v>833.14</v>
      </c>
      <c r="P133" t="s">
        <v>24</v>
      </c>
      <c r="Q133">
        <v>4</v>
      </c>
      <c r="R133" t="b">
        <f>ISBLANK(Table1[[#This Row],[Region]])</f>
        <v>0</v>
      </c>
    </row>
    <row r="134" spans="1:18" x14ac:dyDescent="0.3">
      <c r="A134" t="s">
        <v>328</v>
      </c>
      <c r="B134" s="1">
        <v>45774</v>
      </c>
      <c r="C134" t="s">
        <v>329</v>
      </c>
      <c r="D134" t="s">
        <v>330</v>
      </c>
      <c r="E134" t="s">
        <v>28</v>
      </c>
      <c r="F134" t="s">
        <v>20</v>
      </c>
      <c r="G134" t="s">
        <v>21</v>
      </c>
      <c r="H134" t="s">
        <v>22</v>
      </c>
      <c r="I134" t="s">
        <v>23</v>
      </c>
      <c r="J134">
        <v>6</v>
      </c>
      <c r="K134">
        <v>3615</v>
      </c>
      <c r="L134">
        <v>0.15</v>
      </c>
      <c r="M134">
        <v>18436.5</v>
      </c>
      <c r="N134">
        <v>10530.73</v>
      </c>
      <c r="O134">
        <v>7905.77</v>
      </c>
      <c r="P134" t="s">
        <v>24</v>
      </c>
      <c r="Q134">
        <v>1</v>
      </c>
      <c r="R134" t="b">
        <f>ISBLANK(Table1[[#This Row],[Region]])</f>
        <v>0</v>
      </c>
    </row>
    <row r="135" spans="1:18" x14ac:dyDescent="0.3">
      <c r="A135" t="s">
        <v>331</v>
      </c>
      <c r="B135" s="1">
        <v>45823</v>
      </c>
      <c r="C135" t="s">
        <v>332</v>
      </c>
      <c r="D135" t="s">
        <v>333</v>
      </c>
      <c r="E135" t="s">
        <v>28</v>
      </c>
      <c r="F135" t="s">
        <v>20</v>
      </c>
      <c r="G135" t="s">
        <v>42</v>
      </c>
      <c r="H135" t="s">
        <v>37</v>
      </c>
      <c r="I135" t="s">
        <v>51</v>
      </c>
      <c r="J135">
        <v>6</v>
      </c>
      <c r="K135">
        <v>29923</v>
      </c>
      <c r="L135">
        <v>0.25</v>
      </c>
      <c r="M135">
        <v>134653.5</v>
      </c>
      <c r="N135">
        <v>117370.85</v>
      </c>
      <c r="O135">
        <v>17282.650000000001</v>
      </c>
      <c r="P135" t="s">
        <v>45</v>
      </c>
      <c r="Q135">
        <v>1</v>
      </c>
      <c r="R135" t="b">
        <f>ISBLANK(Table1[[#This Row],[Region]])</f>
        <v>0</v>
      </c>
    </row>
    <row r="136" spans="1:18" x14ac:dyDescent="0.3">
      <c r="A136" t="s">
        <v>334</v>
      </c>
      <c r="B136" s="1">
        <v>45703</v>
      </c>
      <c r="C136" t="s">
        <v>332</v>
      </c>
      <c r="D136" t="s">
        <v>306</v>
      </c>
      <c r="E136" t="s">
        <v>28</v>
      </c>
      <c r="F136" t="s">
        <v>29</v>
      </c>
      <c r="G136" t="s">
        <v>109</v>
      </c>
      <c r="H136" t="s">
        <v>43</v>
      </c>
      <c r="I136" t="s">
        <v>158</v>
      </c>
      <c r="J136">
        <v>3</v>
      </c>
      <c r="K136">
        <v>1197</v>
      </c>
      <c r="L136">
        <v>0</v>
      </c>
      <c r="M136">
        <v>3591</v>
      </c>
      <c r="N136">
        <v>2096.86</v>
      </c>
      <c r="O136">
        <v>1494.14</v>
      </c>
      <c r="P136" t="s">
        <v>45</v>
      </c>
      <c r="Q136">
        <v>4</v>
      </c>
      <c r="R136" t="b">
        <f>ISBLANK(Table1[[#This Row],[Region]])</f>
        <v>0</v>
      </c>
    </row>
    <row r="137" spans="1:18" x14ac:dyDescent="0.3">
      <c r="A137" t="s">
        <v>335</v>
      </c>
      <c r="B137" s="1">
        <v>45946</v>
      </c>
      <c r="C137" t="s">
        <v>336</v>
      </c>
      <c r="D137" t="s">
        <v>314</v>
      </c>
      <c r="E137" t="s">
        <v>60</v>
      </c>
      <c r="F137" t="s">
        <v>20</v>
      </c>
      <c r="G137" t="s">
        <v>50</v>
      </c>
      <c r="H137" t="s">
        <v>55</v>
      </c>
      <c r="I137" t="s">
        <v>61</v>
      </c>
      <c r="J137">
        <v>8</v>
      </c>
      <c r="K137">
        <v>23560</v>
      </c>
      <c r="L137">
        <v>0</v>
      </c>
      <c r="M137">
        <v>188480</v>
      </c>
      <c r="N137">
        <v>135864.84</v>
      </c>
      <c r="O137">
        <v>52615.16</v>
      </c>
      <c r="P137" t="s">
        <v>32</v>
      </c>
      <c r="Q137">
        <v>2</v>
      </c>
      <c r="R137" t="b">
        <f>ISBLANK(Table1[[#This Row],[Region]])</f>
        <v>0</v>
      </c>
    </row>
    <row r="138" spans="1:18" x14ac:dyDescent="0.3">
      <c r="A138" t="s">
        <v>337</v>
      </c>
      <c r="B138" s="1">
        <v>45962</v>
      </c>
      <c r="C138" t="s">
        <v>338</v>
      </c>
      <c r="D138" t="s">
        <v>339</v>
      </c>
      <c r="E138" t="s">
        <v>49</v>
      </c>
      <c r="F138" t="s">
        <v>20</v>
      </c>
      <c r="G138" t="s">
        <v>109</v>
      </c>
      <c r="H138" t="s">
        <v>43</v>
      </c>
      <c r="I138" t="s">
        <v>158</v>
      </c>
      <c r="J138">
        <v>6</v>
      </c>
      <c r="K138">
        <v>5668</v>
      </c>
      <c r="L138">
        <v>0.05</v>
      </c>
      <c r="M138">
        <v>32307.599999999999</v>
      </c>
      <c r="N138">
        <v>18208.259999999998</v>
      </c>
      <c r="O138">
        <v>14099.34</v>
      </c>
      <c r="P138" t="s">
        <v>24</v>
      </c>
      <c r="Q138">
        <v>1</v>
      </c>
      <c r="R138" t="b">
        <f>ISBLANK(Table1[[#This Row],[Region]])</f>
        <v>0</v>
      </c>
    </row>
    <row r="139" spans="1:18" x14ac:dyDescent="0.3">
      <c r="A139" t="s">
        <v>340</v>
      </c>
      <c r="B139" s="1">
        <v>45741</v>
      </c>
      <c r="C139" t="s">
        <v>260</v>
      </c>
      <c r="D139" t="s">
        <v>131</v>
      </c>
      <c r="E139" t="s">
        <v>19</v>
      </c>
      <c r="F139" t="s">
        <v>29</v>
      </c>
      <c r="G139" t="s">
        <v>21</v>
      </c>
      <c r="H139" t="s">
        <v>43</v>
      </c>
      <c r="I139" t="s">
        <v>44</v>
      </c>
      <c r="J139">
        <v>1</v>
      </c>
      <c r="K139">
        <v>5789</v>
      </c>
      <c r="L139">
        <v>0.05</v>
      </c>
      <c r="M139">
        <v>5499.55</v>
      </c>
      <c r="N139">
        <v>4159.59</v>
      </c>
      <c r="O139">
        <v>1339.96</v>
      </c>
      <c r="P139" t="s">
        <v>45</v>
      </c>
      <c r="Q139">
        <v>2</v>
      </c>
      <c r="R139" t="b">
        <f>ISBLANK(Table1[[#This Row],[Region]])</f>
        <v>0</v>
      </c>
    </row>
    <row r="140" spans="1:18" x14ac:dyDescent="0.3">
      <c r="A140" t="s">
        <v>341</v>
      </c>
      <c r="B140" s="1">
        <v>45669</v>
      </c>
      <c r="C140" t="s">
        <v>271</v>
      </c>
      <c r="D140" t="s">
        <v>165</v>
      </c>
      <c r="E140" t="s">
        <v>49</v>
      </c>
      <c r="F140" t="s">
        <v>20</v>
      </c>
      <c r="G140" t="s">
        <v>76</v>
      </c>
      <c r="H140" t="s">
        <v>55</v>
      </c>
      <c r="I140" t="s">
        <v>106</v>
      </c>
      <c r="J140">
        <v>3</v>
      </c>
      <c r="K140">
        <v>1498</v>
      </c>
      <c r="L140">
        <v>0.15</v>
      </c>
      <c r="M140">
        <v>3819.9</v>
      </c>
      <c r="N140">
        <v>3023.16</v>
      </c>
      <c r="O140">
        <v>796.74</v>
      </c>
      <c r="P140" t="s">
        <v>78</v>
      </c>
      <c r="Q140">
        <v>2</v>
      </c>
      <c r="R140" t="b">
        <f>ISBLANK(Table1[[#This Row],[Region]])</f>
        <v>0</v>
      </c>
    </row>
    <row r="141" spans="1:18" x14ac:dyDescent="0.3">
      <c r="A141" t="s">
        <v>342</v>
      </c>
      <c r="B141" s="1">
        <v>45840</v>
      </c>
      <c r="C141" t="s">
        <v>332</v>
      </c>
      <c r="D141" t="s">
        <v>87</v>
      </c>
      <c r="E141" t="s">
        <v>19</v>
      </c>
      <c r="F141" t="s">
        <v>29</v>
      </c>
      <c r="G141" t="s">
        <v>109</v>
      </c>
      <c r="H141" t="s">
        <v>43</v>
      </c>
      <c r="I141" t="s">
        <v>158</v>
      </c>
      <c r="J141">
        <v>4</v>
      </c>
      <c r="K141">
        <v>6057</v>
      </c>
      <c r="L141">
        <v>0.2</v>
      </c>
      <c r="M141">
        <v>19382.400000000001</v>
      </c>
      <c r="N141">
        <v>15711.38</v>
      </c>
      <c r="O141">
        <v>3671.02</v>
      </c>
      <c r="P141" t="s">
        <v>32</v>
      </c>
      <c r="Q141">
        <v>3</v>
      </c>
      <c r="R141" t="b">
        <f>ISBLANK(Table1[[#This Row],[Region]])</f>
        <v>0</v>
      </c>
    </row>
    <row r="142" spans="1:18" x14ac:dyDescent="0.3">
      <c r="A142" t="s">
        <v>343</v>
      </c>
      <c r="B142" s="1">
        <v>45900</v>
      </c>
      <c r="C142" t="s">
        <v>231</v>
      </c>
      <c r="D142" t="s">
        <v>339</v>
      </c>
      <c r="E142" t="s">
        <v>49</v>
      </c>
      <c r="F142" t="s">
        <v>29</v>
      </c>
      <c r="G142" t="s">
        <v>36</v>
      </c>
      <c r="H142" t="s">
        <v>37</v>
      </c>
      <c r="I142" t="s">
        <v>110</v>
      </c>
      <c r="J142">
        <v>8</v>
      </c>
      <c r="K142">
        <v>73130</v>
      </c>
      <c r="L142">
        <v>0.1</v>
      </c>
      <c r="M142">
        <v>526536</v>
      </c>
      <c r="N142">
        <v>303760.59000000003</v>
      </c>
      <c r="O142">
        <v>222775.41</v>
      </c>
      <c r="P142" t="s">
        <v>78</v>
      </c>
      <c r="Q142">
        <v>1</v>
      </c>
      <c r="R142" t="b">
        <f>ISBLANK(Table1[[#This Row],[Region]])</f>
        <v>0</v>
      </c>
    </row>
    <row r="143" spans="1:18" x14ac:dyDescent="0.3">
      <c r="A143" t="s">
        <v>344</v>
      </c>
      <c r="B143" s="1">
        <v>45950</v>
      </c>
      <c r="C143" t="s">
        <v>345</v>
      </c>
      <c r="D143" t="s">
        <v>140</v>
      </c>
      <c r="E143" t="s">
        <v>19</v>
      </c>
      <c r="F143" t="s">
        <v>29</v>
      </c>
      <c r="G143" t="s">
        <v>50</v>
      </c>
      <c r="H143" t="s">
        <v>22</v>
      </c>
      <c r="I143" t="s">
        <v>23</v>
      </c>
      <c r="J143">
        <v>6</v>
      </c>
      <c r="K143">
        <v>14423</v>
      </c>
      <c r="L143">
        <v>0.05</v>
      </c>
      <c r="M143">
        <v>82211.100000000006</v>
      </c>
      <c r="N143">
        <v>65365.48</v>
      </c>
      <c r="O143">
        <v>16845.62</v>
      </c>
      <c r="P143" t="s">
        <v>45</v>
      </c>
      <c r="Q143">
        <v>2</v>
      </c>
      <c r="R143" t="b">
        <f>ISBLANK(Table1[[#This Row],[Region]])</f>
        <v>0</v>
      </c>
    </row>
    <row r="144" spans="1:18" x14ac:dyDescent="0.3">
      <c r="A144" t="s">
        <v>346</v>
      </c>
      <c r="B144" s="1">
        <v>45885</v>
      </c>
      <c r="C144" t="s">
        <v>80</v>
      </c>
      <c r="D144" t="s">
        <v>306</v>
      </c>
      <c r="E144" t="s">
        <v>60</v>
      </c>
      <c r="F144" t="s">
        <v>29</v>
      </c>
      <c r="G144" t="s">
        <v>109</v>
      </c>
      <c r="H144" t="s">
        <v>43</v>
      </c>
      <c r="I144" t="s">
        <v>44</v>
      </c>
      <c r="J144">
        <v>1</v>
      </c>
      <c r="K144">
        <v>3733</v>
      </c>
      <c r="L144">
        <v>0.2</v>
      </c>
      <c r="M144">
        <v>2986.4</v>
      </c>
      <c r="N144">
        <v>2032.3</v>
      </c>
      <c r="O144">
        <v>954.1</v>
      </c>
      <c r="P144" t="s">
        <v>78</v>
      </c>
      <c r="Q144">
        <v>2</v>
      </c>
      <c r="R144" t="b">
        <f>ISBLANK(Table1[[#This Row],[Region]])</f>
        <v>0</v>
      </c>
    </row>
    <row r="145" spans="1:18" x14ac:dyDescent="0.3">
      <c r="A145" t="s">
        <v>347</v>
      </c>
      <c r="B145" s="1">
        <v>45697</v>
      </c>
      <c r="C145" t="s">
        <v>348</v>
      </c>
      <c r="D145" t="s">
        <v>35</v>
      </c>
      <c r="E145" t="s">
        <v>19</v>
      </c>
      <c r="F145" t="s">
        <v>20</v>
      </c>
      <c r="G145" t="s">
        <v>30</v>
      </c>
      <c r="H145" t="s">
        <v>43</v>
      </c>
      <c r="I145" t="s">
        <v>158</v>
      </c>
      <c r="J145">
        <v>6</v>
      </c>
      <c r="K145">
        <v>3130</v>
      </c>
      <c r="L145">
        <v>0.1</v>
      </c>
      <c r="M145">
        <v>16902</v>
      </c>
      <c r="N145">
        <v>12770.8</v>
      </c>
      <c r="O145">
        <v>4131.2</v>
      </c>
      <c r="P145" t="s">
        <v>45</v>
      </c>
      <c r="Q145">
        <v>4</v>
      </c>
      <c r="R145" t="b">
        <f>ISBLANK(Table1[[#This Row],[Region]])</f>
        <v>0</v>
      </c>
    </row>
    <row r="146" spans="1:18" x14ac:dyDescent="0.3">
      <c r="A146" t="s">
        <v>349</v>
      </c>
      <c r="B146" s="1">
        <v>45950</v>
      </c>
      <c r="C146" t="s">
        <v>167</v>
      </c>
      <c r="D146" t="s">
        <v>117</v>
      </c>
      <c r="E146" t="s">
        <v>28</v>
      </c>
      <c r="F146" t="s">
        <v>20</v>
      </c>
      <c r="G146" t="s">
        <v>109</v>
      </c>
      <c r="H146" t="s">
        <v>55</v>
      </c>
      <c r="I146" t="s">
        <v>106</v>
      </c>
      <c r="J146">
        <v>2</v>
      </c>
      <c r="K146">
        <v>6320</v>
      </c>
      <c r="L146">
        <v>0.25</v>
      </c>
      <c r="M146">
        <v>9480</v>
      </c>
      <c r="N146">
        <v>6817.67</v>
      </c>
      <c r="O146">
        <v>2662.33</v>
      </c>
      <c r="P146" t="s">
        <v>32</v>
      </c>
      <c r="Q146">
        <v>4</v>
      </c>
      <c r="R146" t="b">
        <f>ISBLANK(Table1[[#This Row],[Region]])</f>
        <v>0</v>
      </c>
    </row>
    <row r="147" spans="1:18" x14ac:dyDescent="0.3">
      <c r="A147" t="s">
        <v>350</v>
      </c>
      <c r="B147" s="1">
        <v>45983</v>
      </c>
      <c r="C147" t="s">
        <v>275</v>
      </c>
      <c r="D147" t="s">
        <v>59</v>
      </c>
      <c r="E147" t="s">
        <v>60</v>
      </c>
      <c r="F147" t="s">
        <v>29</v>
      </c>
      <c r="G147" t="s">
        <v>30</v>
      </c>
      <c r="H147" t="s">
        <v>43</v>
      </c>
      <c r="I147" t="s">
        <v>158</v>
      </c>
      <c r="J147">
        <v>8</v>
      </c>
      <c r="K147">
        <v>4804</v>
      </c>
      <c r="L147">
        <v>0.15</v>
      </c>
      <c r="M147">
        <v>32667.200000000001</v>
      </c>
      <c r="N147">
        <v>24359.07</v>
      </c>
      <c r="O147">
        <v>8308.1299999999992</v>
      </c>
      <c r="P147" t="s">
        <v>78</v>
      </c>
      <c r="Q147">
        <v>5</v>
      </c>
      <c r="R147" t="b">
        <f>ISBLANK(Table1[[#This Row],[Region]])</f>
        <v>0</v>
      </c>
    </row>
    <row r="148" spans="1:18" x14ac:dyDescent="0.3">
      <c r="A148" t="s">
        <v>351</v>
      </c>
      <c r="B148" s="1">
        <v>45960</v>
      </c>
      <c r="C148" t="s">
        <v>224</v>
      </c>
      <c r="D148" t="s">
        <v>333</v>
      </c>
      <c r="E148" t="s">
        <v>60</v>
      </c>
      <c r="F148" t="s">
        <v>20</v>
      </c>
      <c r="G148" t="s">
        <v>109</v>
      </c>
      <c r="H148" t="s">
        <v>43</v>
      </c>
      <c r="I148" t="s">
        <v>65</v>
      </c>
      <c r="J148">
        <v>8</v>
      </c>
      <c r="K148">
        <v>4950</v>
      </c>
      <c r="L148">
        <v>0.15</v>
      </c>
      <c r="M148">
        <v>33660</v>
      </c>
      <c r="N148">
        <v>29285.58</v>
      </c>
      <c r="O148">
        <v>4374.42</v>
      </c>
      <c r="P148" t="s">
        <v>32</v>
      </c>
      <c r="Q148">
        <v>2</v>
      </c>
      <c r="R148" t="b">
        <f>ISBLANK(Table1[[#This Row],[Region]])</f>
        <v>0</v>
      </c>
    </row>
    <row r="149" spans="1:18" x14ac:dyDescent="0.3">
      <c r="A149" t="s">
        <v>352</v>
      </c>
      <c r="B149" s="1">
        <v>45828</v>
      </c>
      <c r="C149" t="s">
        <v>353</v>
      </c>
      <c r="D149" t="s">
        <v>91</v>
      </c>
      <c r="E149" t="s">
        <v>60</v>
      </c>
      <c r="F149" t="s">
        <v>29</v>
      </c>
      <c r="G149" t="s">
        <v>109</v>
      </c>
      <c r="H149" t="s">
        <v>55</v>
      </c>
      <c r="I149" t="s">
        <v>61</v>
      </c>
      <c r="J149">
        <v>6</v>
      </c>
      <c r="K149">
        <v>4071</v>
      </c>
      <c r="L149">
        <v>0.2</v>
      </c>
      <c r="M149">
        <v>19540.8</v>
      </c>
      <c r="N149">
        <v>12351.27</v>
      </c>
      <c r="O149">
        <v>7189.53</v>
      </c>
      <c r="P149" t="s">
        <v>45</v>
      </c>
      <c r="Q149">
        <v>4</v>
      </c>
      <c r="R149" t="b">
        <f>ISBLANK(Table1[[#This Row],[Region]])</f>
        <v>0</v>
      </c>
    </row>
    <row r="150" spans="1:18" x14ac:dyDescent="0.3">
      <c r="A150" t="s">
        <v>354</v>
      </c>
      <c r="B150" s="1">
        <v>45777</v>
      </c>
      <c r="C150" t="s">
        <v>53</v>
      </c>
      <c r="D150" t="s">
        <v>213</v>
      </c>
      <c r="E150" t="s">
        <v>60</v>
      </c>
      <c r="F150" t="s">
        <v>20</v>
      </c>
      <c r="G150" t="s">
        <v>36</v>
      </c>
      <c r="H150" t="s">
        <v>43</v>
      </c>
      <c r="I150" t="s">
        <v>65</v>
      </c>
      <c r="J150">
        <v>7</v>
      </c>
      <c r="K150">
        <v>5445</v>
      </c>
      <c r="L150">
        <v>0.2</v>
      </c>
      <c r="M150">
        <v>30492</v>
      </c>
      <c r="N150">
        <v>24637.26</v>
      </c>
      <c r="O150">
        <v>5854.74</v>
      </c>
      <c r="P150" t="s">
        <v>32</v>
      </c>
      <c r="Q150">
        <v>4</v>
      </c>
      <c r="R150" t="b">
        <f>ISBLANK(Table1[[#This Row],[Region]])</f>
        <v>0</v>
      </c>
    </row>
    <row r="151" spans="1:18" x14ac:dyDescent="0.3">
      <c r="A151" t="s">
        <v>355</v>
      </c>
      <c r="B151" s="1">
        <v>45677</v>
      </c>
      <c r="C151" t="s">
        <v>58</v>
      </c>
      <c r="D151" t="s">
        <v>323</v>
      </c>
      <c r="E151" t="s">
        <v>19</v>
      </c>
      <c r="F151" t="s">
        <v>20</v>
      </c>
      <c r="G151" t="s">
        <v>102</v>
      </c>
      <c r="H151" t="s">
        <v>37</v>
      </c>
      <c r="I151" t="s">
        <v>110</v>
      </c>
      <c r="J151">
        <v>2</v>
      </c>
      <c r="K151">
        <v>74013</v>
      </c>
      <c r="L151">
        <v>0</v>
      </c>
      <c r="M151">
        <v>148026</v>
      </c>
      <c r="N151">
        <v>107361.18</v>
      </c>
      <c r="O151">
        <v>40664.82</v>
      </c>
      <c r="P151" t="s">
        <v>32</v>
      </c>
      <c r="Q151">
        <v>5</v>
      </c>
      <c r="R151" t="b">
        <f>ISBLANK(Table1[[#This Row],[Region]])</f>
        <v>0</v>
      </c>
    </row>
    <row r="152" spans="1:18" x14ac:dyDescent="0.3">
      <c r="A152" t="s">
        <v>356</v>
      </c>
      <c r="B152" s="1">
        <v>45933</v>
      </c>
      <c r="C152" t="s">
        <v>313</v>
      </c>
      <c r="D152" t="s">
        <v>330</v>
      </c>
      <c r="E152" t="s">
        <v>60</v>
      </c>
      <c r="F152" t="s">
        <v>20</v>
      </c>
      <c r="G152" t="s">
        <v>109</v>
      </c>
      <c r="H152" t="s">
        <v>43</v>
      </c>
      <c r="I152" t="s">
        <v>65</v>
      </c>
      <c r="J152">
        <v>1</v>
      </c>
      <c r="K152">
        <v>4255</v>
      </c>
      <c r="L152">
        <v>0.25</v>
      </c>
      <c r="M152">
        <v>3191.25</v>
      </c>
      <c r="N152">
        <v>2479.9499999999998</v>
      </c>
      <c r="O152">
        <v>711.3</v>
      </c>
      <c r="P152" t="s">
        <v>32</v>
      </c>
      <c r="Q152">
        <v>1</v>
      </c>
      <c r="R152" t="b">
        <f>ISBLANK(Table1[[#This Row],[Region]])</f>
        <v>0</v>
      </c>
    </row>
    <row r="153" spans="1:18" x14ac:dyDescent="0.3">
      <c r="A153" t="s">
        <v>357</v>
      </c>
      <c r="B153" s="1">
        <v>45951</v>
      </c>
      <c r="C153" t="s">
        <v>358</v>
      </c>
      <c r="D153" t="s">
        <v>246</v>
      </c>
      <c r="E153" t="s">
        <v>49</v>
      </c>
      <c r="F153" t="s">
        <v>29</v>
      </c>
      <c r="G153" t="s">
        <v>76</v>
      </c>
      <c r="H153" t="s">
        <v>37</v>
      </c>
      <c r="I153" t="s">
        <v>38</v>
      </c>
      <c r="J153">
        <v>7</v>
      </c>
      <c r="K153">
        <v>34542</v>
      </c>
      <c r="L153">
        <v>0.1</v>
      </c>
      <c r="M153">
        <v>217614.6</v>
      </c>
      <c r="N153">
        <v>154793.48000000001</v>
      </c>
      <c r="O153">
        <v>62821.120000000003</v>
      </c>
      <c r="P153" t="s">
        <v>45</v>
      </c>
      <c r="Q153">
        <v>2</v>
      </c>
      <c r="R153" t="b">
        <f>ISBLANK(Table1[[#This Row],[Region]])</f>
        <v>0</v>
      </c>
    </row>
    <row r="154" spans="1:18" x14ac:dyDescent="0.3">
      <c r="A154" t="s">
        <v>359</v>
      </c>
      <c r="B154" s="1">
        <v>45814</v>
      </c>
      <c r="C154" t="s">
        <v>186</v>
      </c>
      <c r="D154" t="s">
        <v>71</v>
      </c>
      <c r="E154" t="s">
        <v>49</v>
      </c>
      <c r="F154" t="s">
        <v>29</v>
      </c>
      <c r="G154" t="s">
        <v>36</v>
      </c>
      <c r="H154" t="s">
        <v>22</v>
      </c>
      <c r="I154" t="s">
        <v>31</v>
      </c>
      <c r="J154">
        <v>8</v>
      </c>
      <c r="K154">
        <v>14558</v>
      </c>
      <c r="L154">
        <v>0</v>
      </c>
      <c r="M154">
        <v>116464</v>
      </c>
      <c r="N154">
        <v>92143.26</v>
      </c>
      <c r="O154">
        <v>24320.74</v>
      </c>
      <c r="P154" t="s">
        <v>32</v>
      </c>
      <c r="Q154">
        <v>1</v>
      </c>
      <c r="R154" t="b">
        <f>ISBLANK(Table1[[#This Row],[Region]])</f>
        <v>0</v>
      </c>
    </row>
    <row r="155" spans="1:18" x14ac:dyDescent="0.3">
      <c r="A155" t="s">
        <v>360</v>
      </c>
      <c r="B155" s="1">
        <v>45683</v>
      </c>
      <c r="C155" t="s">
        <v>218</v>
      </c>
      <c r="D155" t="s">
        <v>361</v>
      </c>
      <c r="E155" t="s">
        <v>19</v>
      </c>
      <c r="F155" t="s">
        <v>20</v>
      </c>
      <c r="G155" t="s">
        <v>50</v>
      </c>
      <c r="H155" t="s">
        <v>43</v>
      </c>
      <c r="I155" t="s">
        <v>158</v>
      </c>
      <c r="J155">
        <v>3</v>
      </c>
      <c r="K155">
        <v>5593</v>
      </c>
      <c r="L155">
        <v>0.05</v>
      </c>
      <c r="M155">
        <v>15940.05</v>
      </c>
      <c r="N155">
        <v>10051.299999999999</v>
      </c>
      <c r="O155">
        <v>5888.75</v>
      </c>
      <c r="P155" t="s">
        <v>78</v>
      </c>
      <c r="Q155">
        <v>1</v>
      </c>
      <c r="R155" t="b">
        <f>ISBLANK(Table1[[#This Row],[Region]])</f>
        <v>0</v>
      </c>
    </row>
    <row r="156" spans="1:18" x14ac:dyDescent="0.3">
      <c r="A156" t="s">
        <v>362</v>
      </c>
      <c r="B156" s="1">
        <v>45726</v>
      </c>
      <c r="C156" t="s">
        <v>104</v>
      </c>
      <c r="D156" t="s">
        <v>84</v>
      </c>
      <c r="E156" t="s">
        <v>49</v>
      </c>
      <c r="F156" t="s">
        <v>29</v>
      </c>
      <c r="G156" t="s">
        <v>30</v>
      </c>
      <c r="H156" t="s">
        <v>22</v>
      </c>
      <c r="I156" t="s">
        <v>23</v>
      </c>
      <c r="J156">
        <v>1</v>
      </c>
      <c r="K156">
        <v>3470</v>
      </c>
      <c r="L156">
        <v>0.25</v>
      </c>
      <c r="M156">
        <v>2602.5</v>
      </c>
      <c r="N156">
        <v>1769.64</v>
      </c>
      <c r="O156">
        <v>832.86</v>
      </c>
      <c r="P156" t="s">
        <v>45</v>
      </c>
      <c r="Q156">
        <v>1</v>
      </c>
      <c r="R156" t="b">
        <f>ISBLANK(Table1[[#This Row],[Region]])</f>
        <v>0</v>
      </c>
    </row>
    <row r="157" spans="1:18" x14ac:dyDescent="0.3">
      <c r="A157" t="s">
        <v>363</v>
      </c>
      <c r="B157" s="1">
        <v>45981</v>
      </c>
      <c r="C157" t="s">
        <v>133</v>
      </c>
      <c r="D157" t="s">
        <v>364</v>
      </c>
      <c r="E157" t="s">
        <v>60</v>
      </c>
      <c r="F157" t="s">
        <v>20</v>
      </c>
      <c r="G157" t="s">
        <v>109</v>
      </c>
      <c r="H157" t="s">
        <v>37</v>
      </c>
      <c r="I157" t="s">
        <v>38</v>
      </c>
      <c r="J157">
        <v>8</v>
      </c>
      <c r="K157">
        <v>56630</v>
      </c>
      <c r="L157">
        <v>0.2</v>
      </c>
      <c r="M157">
        <v>362432</v>
      </c>
      <c r="N157">
        <v>267154.2</v>
      </c>
      <c r="O157">
        <v>95277.8</v>
      </c>
      <c r="P157" t="s">
        <v>32</v>
      </c>
      <c r="Q157">
        <v>2</v>
      </c>
      <c r="R157" t="b">
        <f>ISBLANK(Table1[[#This Row],[Region]])</f>
        <v>0</v>
      </c>
    </row>
    <row r="158" spans="1:18" x14ac:dyDescent="0.3">
      <c r="A158" t="s">
        <v>365</v>
      </c>
      <c r="B158" s="1">
        <v>45967</v>
      </c>
      <c r="C158" t="s">
        <v>258</v>
      </c>
      <c r="D158" t="s">
        <v>59</v>
      </c>
      <c r="E158" t="s">
        <v>60</v>
      </c>
      <c r="F158" t="s">
        <v>20</v>
      </c>
      <c r="G158" t="s">
        <v>42</v>
      </c>
      <c r="H158" t="s">
        <v>37</v>
      </c>
      <c r="I158" t="s">
        <v>68</v>
      </c>
      <c r="J158">
        <v>3</v>
      </c>
      <c r="K158">
        <v>65272</v>
      </c>
      <c r="L158">
        <v>0</v>
      </c>
      <c r="M158">
        <v>195816</v>
      </c>
      <c r="N158">
        <v>115466.62</v>
      </c>
      <c r="O158">
        <v>80349.38</v>
      </c>
      <c r="P158" t="s">
        <v>45</v>
      </c>
      <c r="Q158">
        <v>2</v>
      </c>
      <c r="R158" t="b">
        <f>ISBLANK(Table1[[#This Row],[Region]])</f>
        <v>0</v>
      </c>
    </row>
    <row r="159" spans="1:18" x14ac:dyDescent="0.3">
      <c r="A159" t="s">
        <v>366</v>
      </c>
      <c r="B159" s="1">
        <v>45881</v>
      </c>
      <c r="C159" t="s">
        <v>231</v>
      </c>
      <c r="D159" t="s">
        <v>367</v>
      </c>
      <c r="E159" t="s">
        <v>19</v>
      </c>
      <c r="F159" t="s">
        <v>29</v>
      </c>
      <c r="G159" t="s">
        <v>102</v>
      </c>
      <c r="H159" t="s">
        <v>43</v>
      </c>
      <c r="I159" t="s">
        <v>65</v>
      </c>
      <c r="J159">
        <v>3</v>
      </c>
      <c r="K159">
        <v>3353</v>
      </c>
      <c r="L159">
        <v>0</v>
      </c>
      <c r="M159">
        <v>10059</v>
      </c>
      <c r="N159">
        <v>7512.47</v>
      </c>
      <c r="O159">
        <v>2546.5300000000002</v>
      </c>
      <c r="P159" t="s">
        <v>78</v>
      </c>
      <c r="Q159">
        <v>2</v>
      </c>
      <c r="R159" t="b">
        <f>ISBLANK(Table1[[#This Row],[Region]])</f>
        <v>0</v>
      </c>
    </row>
    <row r="160" spans="1:18" x14ac:dyDescent="0.3">
      <c r="A160" t="s">
        <v>368</v>
      </c>
      <c r="B160" s="1">
        <v>45774</v>
      </c>
      <c r="C160" t="s">
        <v>300</v>
      </c>
      <c r="D160" t="s">
        <v>369</v>
      </c>
      <c r="E160" t="s">
        <v>49</v>
      </c>
      <c r="F160" t="s">
        <v>29</v>
      </c>
      <c r="G160" t="s">
        <v>76</v>
      </c>
      <c r="H160" t="s">
        <v>55</v>
      </c>
      <c r="I160" t="s">
        <v>121</v>
      </c>
      <c r="J160">
        <v>3</v>
      </c>
      <c r="K160">
        <v>13788</v>
      </c>
      <c r="L160">
        <v>0.05</v>
      </c>
      <c r="M160">
        <v>39295.800000000003</v>
      </c>
      <c r="N160">
        <v>27826.54</v>
      </c>
      <c r="O160">
        <v>11469.26</v>
      </c>
      <c r="P160" t="s">
        <v>32</v>
      </c>
      <c r="Q160">
        <v>5</v>
      </c>
      <c r="R160" t="b">
        <f>ISBLANK(Table1[[#This Row],[Region]])</f>
        <v>0</v>
      </c>
    </row>
    <row r="161" spans="1:18" x14ac:dyDescent="0.3">
      <c r="A161" t="s">
        <v>370</v>
      </c>
      <c r="B161" s="1">
        <v>46021</v>
      </c>
      <c r="C161" t="s">
        <v>206</v>
      </c>
      <c r="D161" t="s">
        <v>27</v>
      </c>
      <c r="E161" t="s">
        <v>19</v>
      </c>
      <c r="F161" t="s">
        <v>20</v>
      </c>
      <c r="G161" t="s">
        <v>36</v>
      </c>
      <c r="H161" t="s">
        <v>22</v>
      </c>
      <c r="I161" t="s">
        <v>72</v>
      </c>
      <c r="J161">
        <v>7</v>
      </c>
      <c r="K161">
        <v>6097</v>
      </c>
      <c r="L161">
        <v>0.25</v>
      </c>
      <c r="M161">
        <v>32009.25</v>
      </c>
      <c r="N161">
        <v>25494.37</v>
      </c>
      <c r="O161">
        <v>6514.88</v>
      </c>
      <c r="P161" t="s">
        <v>45</v>
      </c>
      <c r="Q161">
        <v>5</v>
      </c>
      <c r="R161" t="b">
        <f>ISBLANK(Table1[[#This Row],[Region]])</f>
        <v>0</v>
      </c>
    </row>
    <row r="162" spans="1:18" x14ac:dyDescent="0.3">
      <c r="A162" t="s">
        <v>371</v>
      </c>
      <c r="B162" s="1">
        <v>45932</v>
      </c>
      <c r="C162" t="s">
        <v>149</v>
      </c>
      <c r="D162" t="s">
        <v>250</v>
      </c>
      <c r="E162" t="s">
        <v>28</v>
      </c>
      <c r="F162" t="s">
        <v>29</v>
      </c>
      <c r="G162" t="s">
        <v>21</v>
      </c>
      <c r="H162" t="s">
        <v>43</v>
      </c>
      <c r="I162" t="s">
        <v>65</v>
      </c>
      <c r="J162">
        <v>4</v>
      </c>
      <c r="K162">
        <v>7445</v>
      </c>
      <c r="L162">
        <v>0.15</v>
      </c>
      <c r="M162">
        <v>25313</v>
      </c>
      <c r="N162">
        <v>21727.77</v>
      </c>
      <c r="O162">
        <v>3585.23</v>
      </c>
      <c r="P162" t="s">
        <v>24</v>
      </c>
      <c r="Q162">
        <v>4</v>
      </c>
      <c r="R162" t="b">
        <f>ISBLANK(Table1[[#This Row],[Region]])</f>
        <v>0</v>
      </c>
    </row>
    <row r="163" spans="1:18" x14ac:dyDescent="0.3">
      <c r="A163" t="s">
        <v>372</v>
      </c>
      <c r="B163" s="1">
        <v>45803</v>
      </c>
      <c r="C163" t="s">
        <v>329</v>
      </c>
      <c r="D163" t="s">
        <v>373</v>
      </c>
      <c r="E163" t="s">
        <v>49</v>
      </c>
      <c r="F163" t="s">
        <v>29</v>
      </c>
      <c r="G163" t="s">
        <v>30</v>
      </c>
      <c r="H163" t="s">
        <v>43</v>
      </c>
      <c r="I163" t="s">
        <v>65</v>
      </c>
      <c r="J163">
        <v>7</v>
      </c>
      <c r="K163">
        <v>4445</v>
      </c>
      <c r="L163">
        <v>0.05</v>
      </c>
      <c r="M163">
        <v>29559.25</v>
      </c>
      <c r="N163">
        <v>22211.119999999999</v>
      </c>
      <c r="O163">
        <v>7348.13</v>
      </c>
      <c r="P163" t="s">
        <v>24</v>
      </c>
      <c r="Q163">
        <v>3</v>
      </c>
      <c r="R163" t="b">
        <f>ISBLANK(Table1[[#This Row],[Region]])</f>
        <v>0</v>
      </c>
    </row>
    <row r="164" spans="1:18" x14ac:dyDescent="0.3">
      <c r="A164" t="s">
        <v>374</v>
      </c>
      <c r="B164" s="1">
        <v>45955</v>
      </c>
      <c r="C164" t="s">
        <v>304</v>
      </c>
      <c r="D164" t="s">
        <v>375</v>
      </c>
      <c r="E164" t="s">
        <v>19</v>
      </c>
      <c r="F164" t="s">
        <v>29</v>
      </c>
      <c r="G164" t="s">
        <v>109</v>
      </c>
      <c r="H164" t="s">
        <v>43</v>
      </c>
      <c r="I164" t="s">
        <v>44</v>
      </c>
      <c r="J164">
        <v>2</v>
      </c>
      <c r="K164">
        <v>6478</v>
      </c>
      <c r="L164">
        <v>0</v>
      </c>
      <c r="M164">
        <v>12956</v>
      </c>
      <c r="N164">
        <v>9551.33</v>
      </c>
      <c r="O164">
        <v>3404.67</v>
      </c>
      <c r="P164" t="s">
        <v>78</v>
      </c>
      <c r="Q164">
        <v>1</v>
      </c>
      <c r="R164" t="b">
        <f>ISBLANK(Table1[[#This Row],[Region]])</f>
        <v>0</v>
      </c>
    </row>
    <row r="165" spans="1:18" x14ac:dyDescent="0.3">
      <c r="A165" t="s">
        <v>376</v>
      </c>
      <c r="B165" s="1">
        <v>45775</v>
      </c>
      <c r="C165" t="s">
        <v>348</v>
      </c>
      <c r="D165" t="s">
        <v>176</v>
      </c>
      <c r="E165" t="s">
        <v>28</v>
      </c>
      <c r="F165" t="s">
        <v>20</v>
      </c>
      <c r="G165" t="s">
        <v>30</v>
      </c>
      <c r="H165" t="s">
        <v>22</v>
      </c>
      <c r="I165" t="s">
        <v>23</v>
      </c>
      <c r="J165">
        <v>2</v>
      </c>
      <c r="K165">
        <v>1951</v>
      </c>
      <c r="L165">
        <v>0.2</v>
      </c>
      <c r="M165">
        <v>3121.6</v>
      </c>
      <c r="N165">
        <v>2336.62</v>
      </c>
      <c r="O165">
        <v>784.98</v>
      </c>
      <c r="P165" t="s">
        <v>24</v>
      </c>
      <c r="Q165">
        <v>2</v>
      </c>
      <c r="R165" t="b">
        <f>ISBLANK(Table1[[#This Row],[Region]])</f>
        <v>0</v>
      </c>
    </row>
    <row r="166" spans="1:18" x14ac:dyDescent="0.3">
      <c r="A166" t="s">
        <v>377</v>
      </c>
      <c r="B166" s="1">
        <v>45950</v>
      </c>
      <c r="C166" t="s">
        <v>378</v>
      </c>
      <c r="D166" t="s">
        <v>201</v>
      </c>
      <c r="E166" t="s">
        <v>28</v>
      </c>
      <c r="F166" t="s">
        <v>20</v>
      </c>
      <c r="G166" t="s">
        <v>50</v>
      </c>
      <c r="H166" t="s">
        <v>55</v>
      </c>
      <c r="I166" t="s">
        <v>121</v>
      </c>
      <c r="J166">
        <v>5</v>
      </c>
      <c r="K166">
        <v>22694</v>
      </c>
      <c r="L166">
        <v>0</v>
      </c>
      <c r="M166">
        <v>113470</v>
      </c>
      <c r="N166">
        <v>71278.14</v>
      </c>
      <c r="O166">
        <v>42191.86</v>
      </c>
      <c r="P166" t="s">
        <v>45</v>
      </c>
      <c r="Q166">
        <v>2</v>
      </c>
      <c r="R166" t="b">
        <f>ISBLANK(Table1[[#This Row],[Region]])</f>
        <v>0</v>
      </c>
    </row>
    <row r="167" spans="1:18" x14ac:dyDescent="0.3">
      <c r="A167" t="s">
        <v>379</v>
      </c>
      <c r="B167" s="1">
        <v>45706</v>
      </c>
      <c r="C167" t="s">
        <v>112</v>
      </c>
      <c r="D167" t="s">
        <v>282</v>
      </c>
      <c r="E167" t="s">
        <v>60</v>
      </c>
      <c r="F167" t="s">
        <v>20</v>
      </c>
      <c r="G167" t="s">
        <v>76</v>
      </c>
      <c r="H167" t="s">
        <v>55</v>
      </c>
      <c r="I167" t="s">
        <v>106</v>
      </c>
      <c r="J167">
        <v>4</v>
      </c>
      <c r="K167">
        <v>4168</v>
      </c>
      <c r="L167">
        <v>0.05</v>
      </c>
      <c r="M167">
        <v>15838.4</v>
      </c>
      <c r="N167">
        <v>9510.7199999999993</v>
      </c>
      <c r="O167">
        <v>6327.68</v>
      </c>
      <c r="P167" t="s">
        <v>24</v>
      </c>
      <c r="Q167">
        <v>5</v>
      </c>
      <c r="R167" t="b">
        <f>ISBLANK(Table1[[#This Row],[Region]])</f>
        <v>0</v>
      </c>
    </row>
    <row r="168" spans="1:18" x14ac:dyDescent="0.3">
      <c r="A168" t="s">
        <v>380</v>
      </c>
      <c r="B168" s="1">
        <v>45734</v>
      </c>
      <c r="C168" t="s">
        <v>183</v>
      </c>
      <c r="D168" t="s">
        <v>126</v>
      </c>
      <c r="E168" t="s">
        <v>19</v>
      </c>
      <c r="F168" t="s">
        <v>29</v>
      </c>
      <c r="G168" t="s">
        <v>102</v>
      </c>
      <c r="H168" t="s">
        <v>43</v>
      </c>
      <c r="I168" t="s">
        <v>44</v>
      </c>
      <c r="J168">
        <v>7</v>
      </c>
      <c r="K168">
        <v>4555</v>
      </c>
      <c r="L168">
        <v>0.05</v>
      </c>
      <c r="M168">
        <v>30290.75</v>
      </c>
      <c r="N168">
        <v>19227.71</v>
      </c>
      <c r="O168">
        <v>11063.04</v>
      </c>
      <c r="P168" t="s">
        <v>78</v>
      </c>
      <c r="Q168">
        <v>5</v>
      </c>
      <c r="R168" t="b">
        <f>ISBLANK(Table1[[#This Row],[Region]])</f>
        <v>0</v>
      </c>
    </row>
    <row r="169" spans="1:18" x14ac:dyDescent="0.3">
      <c r="A169" t="s">
        <v>381</v>
      </c>
      <c r="B169" s="1">
        <v>45937</v>
      </c>
      <c r="C169" t="s">
        <v>26</v>
      </c>
      <c r="D169" t="s">
        <v>173</v>
      </c>
      <c r="E169" t="s">
        <v>49</v>
      </c>
      <c r="F169" t="s">
        <v>29</v>
      </c>
      <c r="G169" t="s">
        <v>30</v>
      </c>
      <c r="H169" t="s">
        <v>43</v>
      </c>
      <c r="I169" t="s">
        <v>158</v>
      </c>
      <c r="J169">
        <v>6</v>
      </c>
      <c r="K169">
        <v>3788</v>
      </c>
      <c r="L169">
        <v>0</v>
      </c>
      <c r="M169">
        <v>22728</v>
      </c>
      <c r="N169">
        <v>17693.84</v>
      </c>
      <c r="O169">
        <v>5034.16</v>
      </c>
      <c r="P169" t="s">
        <v>32</v>
      </c>
      <c r="Q169">
        <v>2</v>
      </c>
      <c r="R169" t="b">
        <f>ISBLANK(Table1[[#This Row],[Region]])</f>
        <v>0</v>
      </c>
    </row>
    <row r="170" spans="1:18" x14ac:dyDescent="0.3">
      <c r="A170" t="s">
        <v>382</v>
      </c>
      <c r="B170" s="1">
        <v>45730</v>
      </c>
      <c r="C170" t="s">
        <v>218</v>
      </c>
      <c r="D170" t="s">
        <v>236</v>
      </c>
      <c r="E170" t="s">
        <v>28</v>
      </c>
      <c r="F170" t="s">
        <v>29</v>
      </c>
      <c r="G170" t="s">
        <v>42</v>
      </c>
      <c r="H170" t="s">
        <v>43</v>
      </c>
      <c r="I170" t="s">
        <v>65</v>
      </c>
      <c r="J170">
        <v>6</v>
      </c>
      <c r="K170">
        <v>2413</v>
      </c>
      <c r="L170">
        <v>0.2</v>
      </c>
      <c r="M170">
        <v>11582.4</v>
      </c>
      <c r="N170">
        <v>9788.09</v>
      </c>
      <c r="O170">
        <v>1794.31</v>
      </c>
      <c r="P170" t="s">
        <v>78</v>
      </c>
      <c r="Q170">
        <v>4</v>
      </c>
      <c r="R170" t="b">
        <f>ISBLANK(Table1[[#This Row],[Region]])</f>
        <v>0</v>
      </c>
    </row>
    <row r="171" spans="1:18" x14ac:dyDescent="0.3">
      <c r="A171" t="s">
        <v>383</v>
      </c>
      <c r="B171" s="1">
        <v>45806</v>
      </c>
      <c r="C171" t="s">
        <v>218</v>
      </c>
      <c r="D171" t="s">
        <v>67</v>
      </c>
      <c r="E171" t="s">
        <v>60</v>
      </c>
      <c r="F171" t="s">
        <v>20</v>
      </c>
      <c r="G171" t="s">
        <v>109</v>
      </c>
      <c r="H171" t="s">
        <v>37</v>
      </c>
      <c r="I171" t="s">
        <v>110</v>
      </c>
      <c r="J171">
        <v>2</v>
      </c>
      <c r="K171">
        <v>50485</v>
      </c>
      <c r="L171">
        <v>0.15</v>
      </c>
      <c r="M171">
        <v>85824.5</v>
      </c>
      <c r="N171">
        <v>53822.69</v>
      </c>
      <c r="O171">
        <v>32001.81</v>
      </c>
      <c r="P171" t="s">
        <v>45</v>
      </c>
      <c r="Q171">
        <v>5</v>
      </c>
      <c r="R171" t="b">
        <f>ISBLANK(Table1[[#This Row],[Region]])</f>
        <v>0</v>
      </c>
    </row>
    <row r="172" spans="1:18" x14ac:dyDescent="0.3">
      <c r="A172" t="s">
        <v>384</v>
      </c>
      <c r="B172" s="1">
        <v>45866</v>
      </c>
      <c r="C172" t="s">
        <v>231</v>
      </c>
      <c r="D172" t="s">
        <v>282</v>
      </c>
      <c r="E172" t="s">
        <v>49</v>
      </c>
      <c r="F172" t="s">
        <v>29</v>
      </c>
      <c r="G172" t="s">
        <v>50</v>
      </c>
      <c r="H172" t="s">
        <v>43</v>
      </c>
      <c r="I172" t="s">
        <v>158</v>
      </c>
      <c r="J172">
        <v>6</v>
      </c>
      <c r="K172">
        <v>798</v>
      </c>
      <c r="L172">
        <v>0.15</v>
      </c>
      <c r="M172">
        <v>4069.8</v>
      </c>
      <c r="N172">
        <v>3127.26</v>
      </c>
      <c r="O172">
        <v>942.54</v>
      </c>
      <c r="P172" t="s">
        <v>45</v>
      </c>
      <c r="Q172">
        <v>4</v>
      </c>
      <c r="R172" t="b">
        <f>ISBLANK(Table1[[#This Row],[Region]])</f>
        <v>0</v>
      </c>
    </row>
    <row r="173" spans="1:18" x14ac:dyDescent="0.3">
      <c r="A173" t="s">
        <v>385</v>
      </c>
      <c r="B173" s="1">
        <v>45763</v>
      </c>
      <c r="C173" t="s">
        <v>260</v>
      </c>
      <c r="D173" t="s">
        <v>314</v>
      </c>
      <c r="E173" t="s">
        <v>49</v>
      </c>
      <c r="F173" t="s">
        <v>20</v>
      </c>
      <c r="G173" t="s">
        <v>21</v>
      </c>
      <c r="H173" t="s">
        <v>22</v>
      </c>
      <c r="I173" t="s">
        <v>23</v>
      </c>
      <c r="J173">
        <v>5</v>
      </c>
      <c r="K173">
        <v>9634</v>
      </c>
      <c r="L173">
        <v>0</v>
      </c>
      <c r="M173">
        <v>48170</v>
      </c>
      <c r="N173">
        <v>29203.43</v>
      </c>
      <c r="O173">
        <v>18966.57</v>
      </c>
      <c r="P173" t="s">
        <v>45</v>
      </c>
      <c r="Q173">
        <v>1</v>
      </c>
      <c r="R173" t="b">
        <f>ISBLANK(Table1[[#This Row],[Region]])</f>
        <v>0</v>
      </c>
    </row>
    <row r="174" spans="1:18" x14ac:dyDescent="0.3">
      <c r="A174" t="s">
        <v>386</v>
      </c>
      <c r="B174" s="1">
        <v>46005</v>
      </c>
      <c r="C174" t="s">
        <v>198</v>
      </c>
      <c r="D174" t="s">
        <v>153</v>
      </c>
      <c r="E174" t="s">
        <v>28</v>
      </c>
      <c r="F174" t="s">
        <v>29</v>
      </c>
      <c r="G174" t="s">
        <v>50</v>
      </c>
      <c r="H174" t="s">
        <v>22</v>
      </c>
      <c r="I174" t="s">
        <v>72</v>
      </c>
      <c r="J174">
        <v>4</v>
      </c>
      <c r="K174">
        <v>7281</v>
      </c>
      <c r="L174">
        <v>0.25</v>
      </c>
      <c r="M174">
        <v>21843</v>
      </c>
      <c r="N174">
        <v>13704.99</v>
      </c>
      <c r="O174">
        <v>8138.01</v>
      </c>
      <c r="P174" t="s">
        <v>24</v>
      </c>
      <c r="Q174">
        <v>1</v>
      </c>
      <c r="R174" t="b">
        <f>ISBLANK(Table1[[#This Row],[Region]])</f>
        <v>0</v>
      </c>
    </row>
    <row r="175" spans="1:18" x14ac:dyDescent="0.3">
      <c r="A175" t="s">
        <v>387</v>
      </c>
      <c r="B175" s="1">
        <v>45695</v>
      </c>
      <c r="C175" t="s">
        <v>133</v>
      </c>
      <c r="D175" t="s">
        <v>170</v>
      </c>
      <c r="E175" t="s">
        <v>49</v>
      </c>
      <c r="F175" t="s">
        <v>20</v>
      </c>
      <c r="G175" t="s">
        <v>36</v>
      </c>
      <c r="H175" t="s">
        <v>37</v>
      </c>
      <c r="I175" t="s">
        <v>110</v>
      </c>
      <c r="J175">
        <v>6</v>
      </c>
      <c r="K175">
        <v>19873</v>
      </c>
      <c r="L175">
        <v>0</v>
      </c>
      <c r="M175">
        <v>119238</v>
      </c>
      <c r="N175">
        <v>89523.95</v>
      </c>
      <c r="O175">
        <v>29714.05</v>
      </c>
      <c r="P175" t="s">
        <v>32</v>
      </c>
      <c r="Q175">
        <v>5</v>
      </c>
      <c r="R175" t="b">
        <f>ISBLANK(Table1[[#This Row],[Region]])</f>
        <v>0</v>
      </c>
    </row>
    <row r="176" spans="1:18" x14ac:dyDescent="0.3">
      <c r="A176" t="s">
        <v>388</v>
      </c>
      <c r="B176" s="1">
        <v>45980</v>
      </c>
      <c r="C176" t="s">
        <v>74</v>
      </c>
      <c r="D176" t="s">
        <v>84</v>
      </c>
      <c r="E176" t="s">
        <v>49</v>
      </c>
      <c r="F176" t="s">
        <v>29</v>
      </c>
      <c r="G176" t="s">
        <v>50</v>
      </c>
      <c r="H176" t="s">
        <v>37</v>
      </c>
      <c r="I176" t="s">
        <v>38</v>
      </c>
      <c r="J176">
        <v>2</v>
      </c>
      <c r="K176">
        <v>70322</v>
      </c>
      <c r="L176">
        <v>0</v>
      </c>
      <c r="M176">
        <v>140644</v>
      </c>
      <c r="N176">
        <v>101011.79</v>
      </c>
      <c r="O176">
        <v>39632.21</v>
      </c>
      <c r="P176" t="s">
        <v>32</v>
      </c>
      <c r="Q176">
        <v>3</v>
      </c>
      <c r="R176" t="b">
        <f>ISBLANK(Table1[[#This Row],[Region]])</f>
        <v>0</v>
      </c>
    </row>
    <row r="177" spans="1:18" x14ac:dyDescent="0.3">
      <c r="A177" t="s">
        <v>389</v>
      </c>
      <c r="B177" s="1">
        <v>45896</v>
      </c>
      <c r="C177" t="s">
        <v>390</v>
      </c>
      <c r="D177" t="s">
        <v>81</v>
      </c>
      <c r="E177" t="s">
        <v>49</v>
      </c>
      <c r="F177" t="s">
        <v>29</v>
      </c>
      <c r="G177" t="s">
        <v>76</v>
      </c>
      <c r="H177" t="s">
        <v>43</v>
      </c>
      <c r="I177" t="s">
        <v>77</v>
      </c>
      <c r="J177">
        <v>6</v>
      </c>
      <c r="K177">
        <v>4706</v>
      </c>
      <c r="L177">
        <v>0.15</v>
      </c>
      <c r="M177">
        <v>24000.6</v>
      </c>
      <c r="N177">
        <v>14851.77</v>
      </c>
      <c r="O177">
        <v>9148.83</v>
      </c>
      <c r="P177" t="s">
        <v>78</v>
      </c>
      <c r="Q177">
        <v>2</v>
      </c>
      <c r="R177" t="b">
        <f>ISBLANK(Table1[[#This Row],[Region]])</f>
        <v>0</v>
      </c>
    </row>
    <row r="178" spans="1:18" x14ac:dyDescent="0.3">
      <c r="A178" t="s">
        <v>391</v>
      </c>
      <c r="B178" s="1">
        <v>45820</v>
      </c>
      <c r="C178" t="s">
        <v>80</v>
      </c>
      <c r="D178" t="s">
        <v>178</v>
      </c>
      <c r="E178" t="s">
        <v>49</v>
      </c>
      <c r="F178" t="s">
        <v>20</v>
      </c>
      <c r="G178" t="s">
        <v>30</v>
      </c>
      <c r="H178" t="s">
        <v>55</v>
      </c>
      <c r="I178" t="s">
        <v>56</v>
      </c>
      <c r="J178">
        <v>3</v>
      </c>
      <c r="K178">
        <v>19856</v>
      </c>
      <c r="L178">
        <v>0.15</v>
      </c>
      <c r="M178">
        <v>50632.800000000003</v>
      </c>
      <c r="N178">
        <v>41528.14</v>
      </c>
      <c r="O178">
        <v>9104.66</v>
      </c>
      <c r="P178" t="s">
        <v>32</v>
      </c>
      <c r="Q178">
        <v>4</v>
      </c>
      <c r="R178" t="b">
        <f>ISBLANK(Table1[[#This Row],[Region]])</f>
        <v>0</v>
      </c>
    </row>
    <row r="179" spans="1:18" x14ac:dyDescent="0.3">
      <c r="A179" t="s">
        <v>392</v>
      </c>
      <c r="B179" s="1">
        <v>45821</v>
      </c>
      <c r="C179" t="s">
        <v>291</v>
      </c>
      <c r="D179" t="s">
        <v>170</v>
      </c>
      <c r="E179" t="s">
        <v>49</v>
      </c>
      <c r="F179" t="s">
        <v>29</v>
      </c>
      <c r="G179" t="s">
        <v>21</v>
      </c>
      <c r="H179" t="s">
        <v>22</v>
      </c>
      <c r="I179" t="s">
        <v>95</v>
      </c>
      <c r="J179">
        <v>1</v>
      </c>
      <c r="K179">
        <v>8755</v>
      </c>
      <c r="L179">
        <v>0.2</v>
      </c>
      <c r="M179">
        <v>7004</v>
      </c>
      <c r="N179">
        <v>5844.59</v>
      </c>
      <c r="O179">
        <v>1159.4100000000001</v>
      </c>
      <c r="P179" t="s">
        <v>32</v>
      </c>
      <c r="Q179">
        <v>5</v>
      </c>
      <c r="R179" t="b">
        <f>ISBLANK(Table1[[#This Row],[Region]])</f>
        <v>0</v>
      </c>
    </row>
    <row r="180" spans="1:18" x14ac:dyDescent="0.3">
      <c r="A180" t="s">
        <v>393</v>
      </c>
      <c r="B180" s="1">
        <v>45682</v>
      </c>
      <c r="C180" t="s">
        <v>394</v>
      </c>
      <c r="D180" t="s">
        <v>395</v>
      </c>
      <c r="E180" t="s">
        <v>28</v>
      </c>
      <c r="F180" t="s">
        <v>29</v>
      </c>
      <c r="G180" t="s">
        <v>50</v>
      </c>
      <c r="H180" t="s">
        <v>43</v>
      </c>
      <c r="I180" t="s">
        <v>77</v>
      </c>
      <c r="J180">
        <v>1</v>
      </c>
      <c r="K180">
        <v>6672</v>
      </c>
      <c r="L180">
        <v>0.2</v>
      </c>
      <c r="M180">
        <v>5337.6</v>
      </c>
      <c r="N180">
        <v>3583.06</v>
      </c>
      <c r="O180">
        <v>1754.54</v>
      </c>
      <c r="P180" t="s">
        <v>45</v>
      </c>
      <c r="Q180">
        <v>4</v>
      </c>
      <c r="R180" t="b">
        <f>ISBLANK(Table1[[#This Row],[Region]])</f>
        <v>0</v>
      </c>
    </row>
    <row r="181" spans="1:18" x14ac:dyDescent="0.3">
      <c r="A181" t="s">
        <v>396</v>
      </c>
      <c r="B181" s="1">
        <v>45817</v>
      </c>
      <c r="C181" t="s">
        <v>300</v>
      </c>
      <c r="D181" t="s">
        <v>156</v>
      </c>
      <c r="E181" t="s">
        <v>60</v>
      </c>
      <c r="F181" t="s">
        <v>29</v>
      </c>
      <c r="G181" t="s">
        <v>50</v>
      </c>
      <c r="H181" t="s">
        <v>43</v>
      </c>
      <c r="I181" t="s">
        <v>158</v>
      </c>
      <c r="J181">
        <v>4</v>
      </c>
      <c r="K181">
        <v>3740</v>
      </c>
      <c r="L181">
        <v>0.15</v>
      </c>
      <c r="M181">
        <v>12716</v>
      </c>
      <c r="N181">
        <v>10566.72</v>
      </c>
      <c r="O181">
        <v>2149.2800000000002</v>
      </c>
      <c r="P181" t="s">
        <v>78</v>
      </c>
      <c r="Q181">
        <v>3</v>
      </c>
      <c r="R181" t="b">
        <f>ISBLANK(Table1[[#This Row],[Region]])</f>
        <v>0</v>
      </c>
    </row>
    <row r="182" spans="1:18" x14ac:dyDescent="0.3">
      <c r="A182" t="s">
        <v>397</v>
      </c>
      <c r="B182" s="1">
        <v>45924</v>
      </c>
      <c r="C182" t="s">
        <v>398</v>
      </c>
      <c r="D182" t="s">
        <v>399</v>
      </c>
      <c r="E182" t="s">
        <v>19</v>
      </c>
      <c r="F182" t="s">
        <v>20</v>
      </c>
      <c r="G182" t="s">
        <v>42</v>
      </c>
      <c r="H182" t="s">
        <v>43</v>
      </c>
      <c r="I182" t="s">
        <v>65</v>
      </c>
      <c r="J182">
        <v>3</v>
      </c>
      <c r="K182">
        <v>1858</v>
      </c>
      <c r="L182">
        <v>0</v>
      </c>
      <c r="M182">
        <v>5574</v>
      </c>
      <c r="N182">
        <v>3172.69</v>
      </c>
      <c r="O182">
        <v>2401.31</v>
      </c>
      <c r="P182" t="s">
        <v>78</v>
      </c>
      <c r="Q182">
        <v>3</v>
      </c>
      <c r="R182" t="b">
        <f>ISBLANK(Table1[[#This Row],[Region]])</f>
        <v>0</v>
      </c>
    </row>
    <row r="183" spans="1:18" x14ac:dyDescent="0.3">
      <c r="A183" t="s">
        <v>400</v>
      </c>
      <c r="B183" s="1">
        <v>45737</v>
      </c>
      <c r="C183" t="s">
        <v>146</v>
      </c>
      <c r="D183" t="s">
        <v>236</v>
      </c>
      <c r="E183" t="s">
        <v>60</v>
      </c>
      <c r="F183" t="s">
        <v>29</v>
      </c>
      <c r="G183" t="s">
        <v>36</v>
      </c>
      <c r="H183" t="s">
        <v>43</v>
      </c>
      <c r="I183" t="s">
        <v>65</v>
      </c>
      <c r="J183">
        <v>1</v>
      </c>
      <c r="K183">
        <v>6348</v>
      </c>
      <c r="L183">
        <v>0.25</v>
      </c>
      <c r="M183">
        <v>4761</v>
      </c>
      <c r="N183">
        <v>2777.31</v>
      </c>
      <c r="O183">
        <v>1983.69</v>
      </c>
      <c r="P183" t="s">
        <v>45</v>
      </c>
      <c r="Q183">
        <v>1</v>
      </c>
      <c r="R183" t="b">
        <f>ISBLANK(Table1[[#This Row],[Region]])</f>
        <v>0</v>
      </c>
    </row>
    <row r="184" spans="1:18" x14ac:dyDescent="0.3">
      <c r="A184" t="s">
        <v>401</v>
      </c>
      <c r="B184" s="1">
        <v>45888</v>
      </c>
      <c r="C184" t="s">
        <v>398</v>
      </c>
      <c r="D184" t="s">
        <v>64</v>
      </c>
      <c r="E184" t="s">
        <v>60</v>
      </c>
      <c r="F184" t="s">
        <v>29</v>
      </c>
      <c r="G184" t="s">
        <v>36</v>
      </c>
      <c r="H184" t="s">
        <v>43</v>
      </c>
      <c r="I184" t="s">
        <v>44</v>
      </c>
      <c r="J184">
        <v>4</v>
      </c>
      <c r="K184">
        <v>1721</v>
      </c>
      <c r="L184">
        <v>0.15</v>
      </c>
      <c r="M184">
        <v>5851.4</v>
      </c>
      <c r="N184">
        <v>4235.97</v>
      </c>
      <c r="O184">
        <v>1615.43</v>
      </c>
      <c r="P184" t="s">
        <v>32</v>
      </c>
      <c r="Q184">
        <v>5</v>
      </c>
      <c r="R184" t="b">
        <f>ISBLANK(Table1[[#This Row],[Region]])</f>
        <v>0</v>
      </c>
    </row>
    <row r="185" spans="1:18" x14ac:dyDescent="0.3">
      <c r="A185" t="s">
        <v>402</v>
      </c>
      <c r="B185" s="1">
        <v>45790</v>
      </c>
      <c r="C185" t="s">
        <v>161</v>
      </c>
      <c r="D185" t="s">
        <v>129</v>
      </c>
      <c r="E185" t="s">
        <v>19</v>
      </c>
      <c r="F185" t="s">
        <v>20</v>
      </c>
      <c r="G185" t="s">
        <v>76</v>
      </c>
      <c r="H185" t="s">
        <v>43</v>
      </c>
      <c r="I185" t="s">
        <v>77</v>
      </c>
      <c r="J185">
        <v>4</v>
      </c>
      <c r="K185">
        <v>4060</v>
      </c>
      <c r="L185">
        <v>0.2</v>
      </c>
      <c r="M185">
        <v>12992</v>
      </c>
      <c r="N185">
        <v>8805.15</v>
      </c>
      <c r="O185">
        <v>4186.8500000000004</v>
      </c>
      <c r="P185" t="s">
        <v>32</v>
      </c>
      <c r="Q185">
        <v>5</v>
      </c>
      <c r="R185" t="b">
        <f>ISBLANK(Table1[[#This Row],[Region]])</f>
        <v>0</v>
      </c>
    </row>
    <row r="186" spans="1:18" x14ac:dyDescent="0.3">
      <c r="A186" t="s">
        <v>403</v>
      </c>
      <c r="B186" s="1">
        <v>45899</v>
      </c>
      <c r="C186" t="s">
        <v>289</v>
      </c>
      <c r="D186" t="s">
        <v>278</v>
      </c>
      <c r="E186" t="s">
        <v>49</v>
      </c>
      <c r="F186" t="s">
        <v>20</v>
      </c>
      <c r="G186" t="s">
        <v>76</v>
      </c>
      <c r="H186" t="s">
        <v>43</v>
      </c>
      <c r="I186" t="s">
        <v>158</v>
      </c>
      <c r="J186">
        <v>8</v>
      </c>
      <c r="K186">
        <v>4468</v>
      </c>
      <c r="L186">
        <v>0</v>
      </c>
      <c r="M186">
        <v>35744</v>
      </c>
      <c r="N186">
        <v>23475.06</v>
      </c>
      <c r="O186">
        <v>12268.94</v>
      </c>
      <c r="P186" t="s">
        <v>45</v>
      </c>
      <c r="Q186">
        <v>4</v>
      </c>
      <c r="R186" t="b">
        <f>ISBLANK(Table1[[#This Row],[Region]])</f>
        <v>0</v>
      </c>
    </row>
    <row r="187" spans="1:18" x14ac:dyDescent="0.3">
      <c r="A187" t="s">
        <v>404</v>
      </c>
      <c r="B187" s="1">
        <v>45840</v>
      </c>
      <c r="C187" t="s">
        <v>58</v>
      </c>
      <c r="D187" t="s">
        <v>395</v>
      </c>
      <c r="E187" t="s">
        <v>60</v>
      </c>
      <c r="F187" t="s">
        <v>29</v>
      </c>
      <c r="G187" t="s">
        <v>21</v>
      </c>
      <c r="H187" t="s">
        <v>43</v>
      </c>
      <c r="I187" t="s">
        <v>65</v>
      </c>
      <c r="J187">
        <v>4</v>
      </c>
      <c r="K187">
        <v>5310</v>
      </c>
      <c r="L187">
        <v>0.2</v>
      </c>
      <c r="M187">
        <v>16992</v>
      </c>
      <c r="N187">
        <v>14080.21</v>
      </c>
      <c r="O187">
        <v>2911.79</v>
      </c>
      <c r="P187" t="s">
        <v>45</v>
      </c>
      <c r="Q187">
        <v>2</v>
      </c>
      <c r="R187" t="b">
        <f>ISBLANK(Table1[[#This Row],[Region]])</f>
        <v>0</v>
      </c>
    </row>
    <row r="188" spans="1:18" x14ac:dyDescent="0.3">
      <c r="A188" t="s">
        <v>405</v>
      </c>
      <c r="B188" s="1">
        <v>45699</v>
      </c>
      <c r="C188" t="s">
        <v>406</v>
      </c>
      <c r="D188" t="s">
        <v>407</v>
      </c>
      <c r="E188" t="s">
        <v>28</v>
      </c>
      <c r="F188" t="s">
        <v>29</v>
      </c>
      <c r="G188" t="s">
        <v>42</v>
      </c>
      <c r="H188" t="s">
        <v>43</v>
      </c>
      <c r="I188" t="s">
        <v>65</v>
      </c>
      <c r="J188">
        <v>5</v>
      </c>
      <c r="K188">
        <v>3398</v>
      </c>
      <c r="L188">
        <v>0.25</v>
      </c>
      <c r="M188">
        <v>12742.5</v>
      </c>
      <c r="N188">
        <v>8658.4</v>
      </c>
      <c r="O188">
        <v>4084.1</v>
      </c>
      <c r="P188" t="s">
        <v>24</v>
      </c>
      <c r="Q188">
        <v>1</v>
      </c>
      <c r="R188" t="b">
        <f>ISBLANK(Table1[[#This Row],[Region]])</f>
        <v>0</v>
      </c>
    </row>
    <row r="189" spans="1:18" x14ac:dyDescent="0.3">
      <c r="A189" t="s">
        <v>408</v>
      </c>
      <c r="B189" s="1">
        <v>45889</v>
      </c>
      <c r="C189" t="s">
        <v>348</v>
      </c>
      <c r="D189" t="s">
        <v>409</v>
      </c>
      <c r="E189" t="s">
        <v>49</v>
      </c>
      <c r="F189" t="s">
        <v>20</v>
      </c>
      <c r="G189" t="s">
        <v>30</v>
      </c>
      <c r="H189" t="s">
        <v>22</v>
      </c>
      <c r="I189" t="s">
        <v>72</v>
      </c>
      <c r="J189">
        <v>5</v>
      </c>
      <c r="K189">
        <v>4407</v>
      </c>
      <c r="L189">
        <v>0.05</v>
      </c>
      <c r="M189">
        <v>20933.25</v>
      </c>
      <c r="N189">
        <v>11778.74</v>
      </c>
      <c r="O189">
        <v>9154.51</v>
      </c>
      <c r="P189" t="s">
        <v>45</v>
      </c>
      <c r="Q189">
        <v>3</v>
      </c>
      <c r="R189" t="b">
        <f>ISBLANK(Table1[[#This Row],[Region]])</f>
        <v>0</v>
      </c>
    </row>
    <row r="190" spans="1:18" x14ac:dyDescent="0.3">
      <c r="A190" t="s">
        <v>410</v>
      </c>
      <c r="B190" s="1">
        <v>45744</v>
      </c>
      <c r="C190" t="s">
        <v>218</v>
      </c>
      <c r="D190" t="s">
        <v>411</v>
      </c>
      <c r="E190" t="s">
        <v>49</v>
      </c>
      <c r="F190" t="s">
        <v>20</v>
      </c>
      <c r="G190" t="s">
        <v>36</v>
      </c>
      <c r="H190" t="s">
        <v>22</v>
      </c>
      <c r="I190" t="s">
        <v>23</v>
      </c>
      <c r="J190">
        <v>7</v>
      </c>
      <c r="K190">
        <v>13374</v>
      </c>
      <c r="L190">
        <v>0.2</v>
      </c>
      <c r="M190">
        <v>74894.399999999994</v>
      </c>
      <c r="N190">
        <v>44903.37</v>
      </c>
      <c r="O190">
        <v>29991.03</v>
      </c>
      <c r="P190" t="s">
        <v>78</v>
      </c>
      <c r="Q190">
        <v>1</v>
      </c>
      <c r="R190" t="b">
        <f>ISBLANK(Table1[[#This Row],[Region]])</f>
        <v>0</v>
      </c>
    </row>
    <row r="191" spans="1:18" x14ac:dyDescent="0.3">
      <c r="A191" t="s">
        <v>412</v>
      </c>
      <c r="B191" s="1">
        <v>45889</v>
      </c>
      <c r="C191" t="s">
        <v>413</v>
      </c>
      <c r="D191" t="s">
        <v>399</v>
      </c>
      <c r="E191" t="s">
        <v>60</v>
      </c>
      <c r="F191" t="s">
        <v>29</v>
      </c>
      <c r="G191" t="s">
        <v>102</v>
      </c>
      <c r="H191" t="s">
        <v>43</v>
      </c>
      <c r="I191" t="s">
        <v>44</v>
      </c>
      <c r="J191">
        <v>3</v>
      </c>
      <c r="K191">
        <v>492</v>
      </c>
      <c r="L191">
        <v>0.2</v>
      </c>
      <c r="M191">
        <v>1180.8</v>
      </c>
      <c r="N191">
        <v>847.62</v>
      </c>
      <c r="O191">
        <v>333.18</v>
      </c>
      <c r="P191" t="s">
        <v>45</v>
      </c>
      <c r="Q191">
        <v>3</v>
      </c>
      <c r="R191" t="b">
        <f>ISBLANK(Table1[[#This Row],[Region]])</f>
        <v>0</v>
      </c>
    </row>
    <row r="192" spans="1:18" x14ac:dyDescent="0.3">
      <c r="A192" t="s">
        <v>414</v>
      </c>
      <c r="B192" s="1">
        <v>46009</v>
      </c>
      <c r="C192" t="s">
        <v>218</v>
      </c>
      <c r="D192" t="s">
        <v>407</v>
      </c>
      <c r="E192" t="s">
        <v>19</v>
      </c>
      <c r="F192" t="s">
        <v>29</v>
      </c>
      <c r="G192" t="s">
        <v>36</v>
      </c>
      <c r="H192" t="s">
        <v>43</v>
      </c>
      <c r="I192" t="s">
        <v>44</v>
      </c>
      <c r="J192">
        <v>3</v>
      </c>
      <c r="K192">
        <v>1723</v>
      </c>
      <c r="L192">
        <v>0.2</v>
      </c>
      <c r="M192">
        <v>4135.2</v>
      </c>
      <c r="N192">
        <v>3024.37</v>
      </c>
      <c r="O192">
        <v>1110.83</v>
      </c>
      <c r="P192" t="s">
        <v>45</v>
      </c>
      <c r="Q192">
        <v>4</v>
      </c>
      <c r="R192" t="b">
        <f>ISBLANK(Table1[[#This Row],[Region]])</f>
        <v>0</v>
      </c>
    </row>
    <row r="193" spans="1:18" x14ac:dyDescent="0.3">
      <c r="A193" t="s">
        <v>415</v>
      </c>
      <c r="B193" s="1">
        <v>45706</v>
      </c>
      <c r="C193" t="s">
        <v>416</v>
      </c>
      <c r="D193" t="s">
        <v>395</v>
      </c>
      <c r="E193" t="s">
        <v>60</v>
      </c>
      <c r="F193" t="s">
        <v>20</v>
      </c>
      <c r="G193" t="s">
        <v>42</v>
      </c>
      <c r="H193" t="s">
        <v>43</v>
      </c>
      <c r="I193" t="s">
        <v>44</v>
      </c>
      <c r="J193">
        <v>8</v>
      </c>
      <c r="K193">
        <v>2132</v>
      </c>
      <c r="L193">
        <v>0</v>
      </c>
      <c r="M193">
        <v>17056</v>
      </c>
      <c r="N193">
        <v>11530.54</v>
      </c>
      <c r="O193">
        <v>5525.46</v>
      </c>
      <c r="P193" t="s">
        <v>24</v>
      </c>
      <c r="Q193">
        <v>2</v>
      </c>
      <c r="R193" t="b">
        <f>ISBLANK(Table1[[#This Row],[Region]])</f>
        <v>0</v>
      </c>
    </row>
    <row r="194" spans="1:18" x14ac:dyDescent="0.3">
      <c r="A194" t="s">
        <v>417</v>
      </c>
      <c r="B194" s="1">
        <v>45915</v>
      </c>
      <c r="C194" t="s">
        <v>406</v>
      </c>
      <c r="D194" t="s">
        <v>278</v>
      </c>
      <c r="E194" t="s">
        <v>19</v>
      </c>
      <c r="F194" t="s">
        <v>20</v>
      </c>
      <c r="G194" t="s">
        <v>21</v>
      </c>
      <c r="H194" t="s">
        <v>55</v>
      </c>
      <c r="I194" t="s">
        <v>106</v>
      </c>
      <c r="J194">
        <v>2</v>
      </c>
      <c r="K194">
        <v>8394</v>
      </c>
      <c r="L194">
        <v>0.15</v>
      </c>
      <c r="M194">
        <v>14269.8</v>
      </c>
      <c r="N194">
        <v>9227.2999999999993</v>
      </c>
      <c r="O194">
        <v>5042.5</v>
      </c>
      <c r="P194" t="s">
        <v>45</v>
      </c>
      <c r="Q194">
        <v>4</v>
      </c>
      <c r="R194" t="b">
        <f>ISBLANK(Table1[[#This Row],[Region]])</f>
        <v>0</v>
      </c>
    </row>
    <row r="195" spans="1:18" x14ac:dyDescent="0.3">
      <c r="A195" t="s">
        <v>418</v>
      </c>
      <c r="B195" s="1">
        <v>45810</v>
      </c>
      <c r="C195" t="s">
        <v>419</v>
      </c>
      <c r="D195" t="s">
        <v>250</v>
      </c>
      <c r="E195" t="s">
        <v>49</v>
      </c>
      <c r="F195" t="s">
        <v>29</v>
      </c>
      <c r="G195" t="s">
        <v>42</v>
      </c>
      <c r="H195" t="s">
        <v>43</v>
      </c>
      <c r="I195" t="s">
        <v>158</v>
      </c>
      <c r="J195">
        <v>7</v>
      </c>
      <c r="K195">
        <v>1242</v>
      </c>
      <c r="L195">
        <v>0.05</v>
      </c>
      <c r="M195">
        <v>8259.2999999999993</v>
      </c>
      <c r="N195">
        <v>5154.82</v>
      </c>
      <c r="O195">
        <v>3104.48</v>
      </c>
      <c r="P195" t="s">
        <v>32</v>
      </c>
      <c r="Q195">
        <v>4</v>
      </c>
      <c r="R195" t="b">
        <f>ISBLANK(Table1[[#This Row],[Region]])</f>
        <v>0</v>
      </c>
    </row>
    <row r="196" spans="1:18" x14ac:dyDescent="0.3">
      <c r="A196" t="s">
        <v>420</v>
      </c>
      <c r="B196" s="1">
        <v>45779</v>
      </c>
      <c r="C196" t="s">
        <v>332</v>
      </c>
      <c r="D196" t="s">
        <v>199</v>
      </c>
      <c r="E196" t="s">
        <v>49</v>
      </c>
      <c r="F196" t="s">
        <v>20</v>
      </c>
      <c r="G196" t="s">
        <v>42</v>
      </c>
      <c r="H196" t="s">
        <v>22</v>
      </c>
      <c r="I196" t="s">
        <v>23</v>
      </c>
      <c r="J196">
        <v>4</v>
      </c>
      <c r="K196">
        <v>3203</v>
      </c>
      <c r="L196">
        <v>0.25</v>
      </c>
      <c r="M196">
        <v>9609</v>
      </c>
      <c r="N196">
        <v>5325.27</v>
      </c>
      <c r="O196">
        <v>4283.7299999999996</v>
      </c>
      <c r="P196" t="s">
        <v>45</v>
      </c>
      <c r="Q196">
        <v>1</v>
      </c>
      <c r="R196" t="b">
        <f>ISBLANK(Table1[[#This Row],[Region]])</f>
        <v>0</v>
      </c>
    </row>
    <row r="197" spans="1:18" x14ac:dyDescent="0.3">
      <c r="A197" t="s">
        <v>421</v>
      </c>
      <c r="B197" s="1">
        <v>46017</v>
      </c>
      <c r="C197" t="s">
        <v>172</v>
      </c>
      <c r="D197" t="s">
        <v>246</v>
      </c>
      <c r="E197" t="s">
        <v>19</v>
      </c>
      <c r="F197" t="s">
        <v>29</v>
      </c>
      <c r="G197" t="s">
        <v>102</v>
      </c>
      <c r="H197" t="s">
        <v>55</v>
      </c>
      <c r="I197" t="s">
        <v>121</v>
      </c>
      <c r="J197">
        <v>5</v>
      </c>
      <c r="K197">
        <v>5916</v>
      </c>
      <c r="L197">
        <v>0.25</v>
      </c>
      <c r="M197">
        <v>22185</v>
      </c>
      <c r="N197">
        <v>18366.060000000001</v>
      </c>
      <c r="O197">
        <v>3818.94</v>
      </c>
      <c r="P197" t="s">
        <v>45</v>
      </c>
      <c r="Q197">
        <v>3</v>
      </c>
      <c r="R197" t="b">
        <f>ISBLANK(Table1[[#This Row],[Region]])</f>
        <v>0</v>
      </c>
    </row>
    <row r="198" spans="1:18" x14ac:dyDescent="0.3">
      <c r="A198" t="s">
        <v>422</v>
      </c>
      <c r="B198" s="1">
        <v>45940</v>
      </c>
      <c r="C198" t="s">
        <v>398</v>
      </c>
      <c r="D198" t="s">
        <v>243</v>
      </c>
      <c r="E198" t="s">
        <v>60</v>
      </c>
      <c r="F198" t="s">
        <v>20</v>
      </c>
      <c r="G198" t="s">
        <v>36</v>
      </c>
      <c r="H198" t="s">
        <v>55</v>
      </c>
      <c r="I198" t="s">
        <v>61</v>
      </c>
      <c r="J198">
        <v>5</v>
      </c>
      <c r="K198">
        <v>18335</v>
      </c>
      <c r="L198">
        <v>0.05</v>
      </c>
      <c r="M198">
        <v>87091.25</v>
      </c>
      <c r="N198">
        <v>51686.09</v>
      </c>
      <c r="O198">
        <v>35405.160000000003</v>
      </c>
      <c r="P198" t="s">
        <v>45</v>
      </c>
      <c r="Q198">
        <v>4</v>
      </c>
      <c r="R198" t="b">
        <f>ISBLANK(Table1[[#This Row],[Region]])</f>
        <v>0</v>
      </c>
    </row>
    <row r="199" spans="1:18" x14ac:dyDescent="0.3">
      <c r="A199" t="s">
        <v>423</v>
      </c>
      <c r="B199" s="1">
        <v>45676</v>
      </c>
      <c r="C199" t="s">
        <v>424</v>
      </c>
      <c r="D199" t="s">
        <v>323</v>
      </c>
      <c r="E199" t="s">
        <v>60</v>
      </c>
      <c r="F199" t="s">
        <v>20</v>
      </c>
      <c r="G199" t="s">
        <v>50</v>
      </c>
      <c r="H199" t="s">
        <v>55</v>
      </c>
      <c r="I199" t="s">
        <v>106</v>
      </c>
      <c r="J199">
        <v>5</v>
      </c>
      <c r="K199">
        <v>14964</v>
      </c>
      <c r="L199">
        <v>0.1</v>
      </c>
      <c r="M199">
        <v>67338</v>
      </c>
      <c r="N199">
        <v>43647.88</v>
      </c>
      <c r="O199">
        <v>23690.12</v>
      </c>
      <c r="P199" t="s">
        <v>78</v>
      </c>
      <c r="Q199">
        <v>1</v>
      </c>
      <c r="R199" t="b">
        <f>ISBLANK(Table1[[#This Row],[Region]])</f>
        <v>0</v>
      </c>
    </row>
    <row r="200" spans="1:18" x14ac:dyDescent="0.3">
      <c r="A200" t="s">
        <v>425</v>
      </c>
      <c r="B200" s="1">
        <v>45660</v>
      </c>
      <c r="C200" t="s">
        <v>175</v>
      </c>
      <c r="D200" t="s">
        <v>364</v>
      </c>
      <c r="E200" t="s">
        <v>28</v>
      </c>
      <c r="F200" t="s">
        <v>20</v>
      </c>
      <c r="G200" t="s">
        <v>21</v>
      </c>
      <c r="H200" t="s">
        <v>37</v>
      </c>
      <c r="I200" t="s">
        <v>68</v>
      </c>
      <c r="J200">
        <v>8</v>
      </c>
      <c r="K200">
        <v>35048</v>
      </c>
      <c r="L200">
        <v>0</v>
      </c>
      <c r="M200">
        <v>280384</v>
      </c>
      <c r="N200">
        <v>222839.38</v>
      </c>
      <c r="O200">
        <v>57544.62</v>
      </c>
      <c r="P200" t="s">
        <v>45</v>
      </c>
      <c r="Q200">
        <v>2</v>
      </c>
      <c r="R200" t="b">
        <f>ISBLANK(Table1[[#This Row],[Region]])</f>
        <v>0</v>
      </c>
    </row>
    <row r="201" spans="1:18" x14ac:dyDescent="0.3">
      <c r="A201" t="s">
        <v>426</v>
      </c>
      <c r="B201" s="1">
        <v>45723</v>
      </c>
      <c r="C201" t="s">
        <v>427</v>
      </c>
      <c r="D201" t="s">
        <v>162</v>
      </c>
      <c r="E201" t="s">
        <v>49</v>
      </c>
      <c r="F201" t="s">
        <v>29</v>
      </c>
      <c r="G201" t="s">
        <v>50</v>
      </c>
      <c r="H201" t="s">
        <v>43</v>
      </c>
      <c r="I201" t="s">
        <v>65</v>
      </c>
      <c r="J201">
        <v>2</v>
      </c>
      <c r="K201">
        <v>6042</v>
      </c>
      <c r="L201">
        <v>0.25</v>
      </c>
      <c r="M201">
        <v>9063</v>
      </c>
      <c r="N201">
        <v>6826.93</v>
      </c>
      <c r="O201">
        <v>2236.0700000000002</v>
      </c>
      <c r="P201" t="s">
        <v>32</v>
      </c>
      <c r="Q201">
        <v>2</v>
      </c>
      <c r="R201" t="b">
        <f>ISBLANK(Table1[[#This Row],[Region]])</f>
        <v>0</v>
      </c>
    </row>
    <row r="202" spans="1:18" x14ac:dyDescent="0.3">
      <c r="A202" t="s">
        <v>428</v>
      </c>
      <c r="B202" s="1">
        <v>45677</v>
      </c>
      <c r="C202" t="s">
        <v>338</v>
      </c>
      <c r="D202" t="s">
        <v>187</v>
      </c>
      <c r="E202" t="s">
        <v>49</v>
      </c>
      <c r="F202" t="s">
        <v>20</v>
      </c>
      <c r="G202" t="s">
        <v>36</v>
      </c>
      <c r="H202" t="s">
        <v>55</v>
      </c>
      <c r="I202" t="s">
        <v>56</v>
      </c>
      <c r="J202">
        <v>4</v>
      </c>
      <c r="K202">
        <v>18770</v>
      </c>
      <c r="L202">
        <v>0.25</v>
      </c>
      <c r="M202">
        <v>56310</v>
      </c>
      <c r="N202">
        <v>44898.78</v>
      </c>
      <c r="O202">
        <v>11411.22</v>
      </c>
      <c r="P202" t="s">
        <v>32</v>
      </c>
      <c r="Q202">
        <v>3</v>
      </c>
      <c r="R202" t="b">
        <f>ISBLANK(Table1[[#This Row],[Region]])</f>
        <v>0</v>
      </c>
    </row>
    <row r="203" spans="1:18" x14ac:dyDescent="0.3">
      <c r="A203" t="s">
        <v>429</v>
      </c>
      <c r="B203" s="1">
        <v>45884</v>
      </c>
      <c r="C203" t="s">
        <v>58</v>
      </c>
      <c r="D203" t="s">
        <v>276</v>
      </c>
      <c r="E203" t="s">
        <v>60</v>
      </c>
      <c r="F203" t="s">
        <v>20</v>
      </c>
      <c r="G203" t="s">
        <v>109</v>
      </c>
      <c r="H203" t="s">
        <v>55</v>
      </c>
      <c r="I203" t="s">
        <v>61</v>
      </c>
      <c r="J203">
        <v>7</v>
      </c>
      <c r="K203">
        <v>11491</v>
      </c>
      <c r="L203">
        <v>0.15</v>
      </c>
      <c r="M203">
        <v>68371.45</v>
      </c>
      <c r="N203">
        <v>55212.13</v>
      </c>
      <c r="O203">
        <v>13159.32</v>
      </c>
      <c r="P203" t="s">
        <v>45</v>
      </c>
      <c r="Q203">
        <v>5</v>
      </c>
      <c r="R203" t="b">
        <f>ISBLANK(Table1[[#This Row],[Region]])</f>
        <v>0</v>
      </c>
    </row>
    <row r="204" spans="1:18" x14ac:dyDescent="0.3">
      <c r="A204" t="s">
        <v>430</v>
      </c>
      <c r="B204" s="1">
        <v>45776</v>
      </c>
      <c r="C204" t="s">
        <v>258</v>
      </c>
      <c r="D204" t="s">
        <v>364</v>
      </c>
      <c r="E204" t="s">
        <v>49</v>
      </c>
      <c r="F204" t="s">
        <v>29</v>
      </c>
      <c r="G204" t="s">
        <v>102</v>
      </c>
      <c r="H204" t="s">
        <v>55</v>
      </c>
      <c r="I204" t="s">
        <v>56</v>
      </c>
      <c r="J204">
        <v>4</v>
      </c>
      <c r="K204">
        <v>4942</v>
      </c>
      <c r="L204">
        <v>0.2</v>
      </c>
      <c r="M204">
        <v>15814.4</v>
      </c>
      <c r="N204">
        <v>9183.2199999999993</v>
      </c>
      <c r="O204">
        <v>6631.18</v>
      </c>
      <c r="P204" t="s">
        <v>45</v>
      </c>
      <c r="Q204">
        <v>5</v>
      </c>
      <c r="R204" t="b">
        <f>ISBLANK(Table1[[#This Row],[Region]])</f>
        <v>0</v>
      </c>
    </row>
    <row r="205" spans="1:18" x14ac:dyDescent="0.3">
      <c r="A205" t="s">
        <v>431</v>
      </c>
      <c r="B205" s="1">
        <v>45815</v>
      </c>
      <c r="C205" t="s">
        <v>432</v>
      </c>
      <c r="D205" t="s">
        <v>120</v>
      </c>
      <c r="E205" t="s">
        <v>28</v>
      </c>
      <c r="F205" t="s">
        <v>29</v>
      </c>
      <c r="G205" t="s">
        <v>50</v>
      </c>
      <c r="H205" t="s">
        <v>55</v>
      </c>
      <c r="I205" t="s">
        <v>106</v>
      </c>
      <c r="J205">
        <v>4</v>
      </c>
      <c r="K205">
        <v>14236</v>
      </c>
      <c r="L205">
        <v>0.25</v>
      </c>
      <c r="M205">
        <v>42708</v>
      </c>
      <c r="N205">
        <v>30347.33</v>
      </c>
      <c r="O205">
        <v>12360.67</v>
      </c>
      <c r="P205" t="s">
        <v>78</v>
      </c>
      <c r="Q205">
        <v>1</v>
      </c>
      <c r="R205" t="b">
        <f>ISBLANK(Table1[[#This Row],[Region]])</f>
        <v>0</v>
      </c>
    </row>
    <row r="206" spans="1:18" x14ac:dyDescent="0.3">
      <c r="A206" t="s">
        <v>433</v>
      </c>
      <c r="B206" s="1">
        <v>45774</v>
      </c>
      <c r="C206" t="s">
        <v>224</v>
      </c>
      <c r="D206" t="s">
        <v>434</v>
      </c>
      <c r="E206" t="s">
        <v>19</v>
      </c>
      <c r="F206" t="s">
        <v>20</v>
      </c>
      <c r="G206" t="s">
        <v>21</v>
      </c>
      <c r="H206" t="s">
        <v>55</v>
      </c>
      <c r="I206" t="s">
        <v>106</v>
      </c>
      <c r="J206">
        <v>6</v>
      </c>
      <c r="K206">
        <v>17538</v>
      </c>
      <c r="L206">
        <v>0.15</v>
      </c>
      <c r="M206">
        <v>89443.8</v>
      </c>
      <c r="N206">
        <v>72361.47</v>
      </c>
      <c r="O206">
        <v>17082.330000000002</v>
      </c>
      <c r="P206" t="s">
        <v>24</v>
      </c>
      <c r="Q206">
        <v>4</v>
      </c>
      <c r="R206" t="b">
        <f>ISBLANK(Table1[[#This Row],[Region]])</f>
        <v>0</v>
      </c>
    </row>
    <row r="207" spans="1:18" x14ac:dyDescent="0.3">
      <c r="A207" t="s">
        <v>435</v>
      </c>
      <c r="B207" s="1">
        <v>45908</v>
      </c>
      <c r="C207" t="s">
        <v>47</v>
      </c>
      <c r="D207" t="s">
        <v>207</v>
      </c>
      <c r="E207" t="s">
        <v>49</v>
      </c>
      <c r="F207" t="s">
        <v>29</v>
      </c>
      <c r="G207" t="s">
        <v>109</v>
      </c>
      <c r="H207" t="s">
        <v>43</v>
      </c>
      <c r="I207" t="s">
        <v>65</v>
      </c>
      <c r="J207">
        <v>7</v>
      </c>
      <c r="K207">
        <v>2193</v>
      </c>
      <c r="L207">
        <v>0.15</v>
      </c>
      <c r="M207">
        <v>13048.35</v>
      </c>
      <c r="N207">
        <v>7445.9</v>
      </c>
      <c r="O207">
        <v>5602.45</v>
      </c>
      <c r="P207" t="s">
        <v>24</v>
      </c>
      <c r="Q207">
        <v>1</v>
      </c>
      <c r="R207" t="b">
        <f>ISBLANK(Table1[[#This Row],[Region]])</f>
        <v>0</v>
      </c>
    </row>
    <row r="208" spans="1:18" x14ac:dyDescent="0.3">
      <c r="A208" t="s">
        <v>436</v>
      </c>
      <c r="B208" s="1">
        <v>45704</v>
      </c>
      <c r="C208" t="s">
        <v>437</v>
      </c>
      <c r="D208" t="s">
        <v>207</v>
      </c>
      <c r="E208" t="s">
        <v>60</v>
      </c>
      <c r="F208" t="s">
        <v>20</v>
      </c>
      <c r="G208" t="s">
        <v>30</v>
      </c>
      <c r="H208" t="s">
        <v>55</v>
      </c>
      <c r="I208" t="s">
        <v>61</v>
      </c>
      <c r="J208">
        <v>4</v>
      </c>
      <c r="K208">
        <v>19748</v>
      </c>
      <c r="L208">
        <v>0.1</v>
      </c>
      <c r="M208">
        <v>71092.800000000003</v>
      </c>
      <c r="N208">
        <v>55192.95</v>
      </c>
      <c r="O208">
        <v>15899.85</v>
      </c>
      <c r="P208" t="s">
        <v>45</v>
      </c>
      <c r="Q208">
        <v>5</v>
      </c>
      <c r="R208" t="b">
        <f>ISBLANK(Table1[[#This Row],[Region]])</f>
        <v>0</v>
      </c>
    </row>
    <row r="209" spans="1:18" x14ac:dyDescent="0.3">
      <c r="A209" t="s">
        <v>438</v>
      </c>
      <c r="B209" s="1">
        <v>46007</v>
      </c>
      <c r="C209" t="s">
        <v>221</v>
      </c>
      <c r="D209" t="s">
        <v>204</v>
      </c>
      <c r="E209" t="s">
        <v>60</v>
      </c>
      <c r="F209" t="s">
        <v>20</v>
      </c>
      <c r="G209" t="s">
        <v>102</v>
      </c>
      <c r="H209" t="s">
        <v>22</v>
      </c>
      <c r="I209" t="s">
        <v>23</v>
      </c>
      <c r="J209">
        <v>2</v>
      </c>
      <c r="K209">
        <v>5217</v>
      </c>
      <c r="L209">
        <v>0.2</v>
      </c>
      <c r="M209">
        <v>8347.2000000000007</v>
      </c>
      <c r="N209">
        <v>6519.86</v>
      </c>
      <c r="O209">
        <v>1827.34</v>
      </c>
      <c r="P209" t="s">
        <v>24</v>
      </c>
      <c r="Q209">
        <v>3</v>
      </c>
      <c r="R209" t="b">
        <f>ISBLANK(Table1[[#This Row],[Region]])</f>
        <v>0</v>
      </c>
    </row>
    <row r="210" spans="1:18" x14ac:dyDescent="0.3">
      <c r="A210" t="s">
        <v>439</v>
      </c>
      <c r="B210" s="1">
        <v>45706</v>
      </c>
      <c r="C210" t="s">
        <v>348</v>
      </c>
      <c r="D210" t="s">
        <v>195</v>
      </c>
      <c r="E210" t="s">
        <v>49</v>
      </c>
      <c r="F210" t="s">
        <v>20</v>
      </c>
      <c r="G210" t="s">
        <v>50</v>
      </c>
      <c r="H210" t="s">
        <v>43</v>
      </c>
      <c r="I210" t="s">
        <v>158</v>
      </c>
      <c r="J210">
        <v>2</v>
      </c>
      <c r="K210">
        <v>7033</v>
      </c>
      <c r="L210">
        <v>0.2</v>
      </c>
      <c r="M210">
        <v>11252.8</v>
      </c>
      <c r="N210">
        <v>7903.65</v>
      </c>
      <c r="O210">
        <v>3349.15</v>
      </c>
      <c r="P210" t="s">
        <v>32</v>
      </c>
      <c r="Q210">
        <v>2</v>
      </c>
      <c r="R210" t="b">
        <f>ISBLANK(Table1[[#This Row],[Region]])</f>
        <v>0</v>
      </c>
    </row>
    <row r="211" spans="1:18" x14ac:dyDescent="0.3">
      <c r="A211" t="s">
        <v>440</v>
      </c>
      <c r="B211" s="1">
        <v>45757</v>
      </c>
      <c r="C211" t="s">
        <v>221</v>
      </c>
      <c r="D211" t="s">
        <v>190</v>
      </c>
      <c r="E211" t="s">
        <v>28</v>
      </c>
      <c r="F211" t="s">
        <v>29</v>
      </c>
      <c r="G211" t="s">
        <v>50</v>
      </c>
      <c r="H211" t="s">
        <v>55</v>
      </c>
      <c r="I211" t="s">
        <v>106</v>
      </c>
      <c r="J211">
        <v>7</v>
      </c>
      <c r="K211">
        <v>12663</v>
      </c>
      <c r="L211">
        <v>0</v>
      </c>
      <c r="M211">
        <v>88641</v>
      </c>
      <c r="N211">
        <v>71574.98</v>
      </c>
      <c r="O211">
        <v>17066.02</v>
      </c>
      <c r="P211" t="s">
        <v>45</v>
      </c>
      <c r="Q211">
        <v>4</v>
      </c>
      <c r="R211" t="b">
        <f>ISBLANK(Table1[[#This Row],[Region]])</f>
        <v>0</v>
      </c>
    </row>
    <row r="212" spans="1:18" x14ac:dyDescent="0.3">
      <c r="A212" t="s">
        <v>441</v>
      </c>
      <c r="B212" s="1">
        <v>46021</v>
      </c>
      <c r="C212" t="s">
        <v>116</v>
      </c>
      <c r="D212" t="s">
        <v>176</v>
      </c>
      <c r="E212" t="s">
        <v>60</v>
      </c>
      <c r="F212" t="s">
        <v>20</v>
      </c>
      <c r="G212" t="s">
        <v>102</v>
      </c>
      <c r="H212" t="s">
        <v>43</v>
      </c>
      <c r="I212" t="s">
        <v>44</v>
      </c>
      <c r="J212">
        <v>8</v>
      </c>
      <c r="K212">
        <v>3988</v>
      </c>
      <c r="L212">
        <v>0.2</v>
      </c>
      <c r="M212">
        <v>25523.200000000001</v>
      </c>
      <c r="N212">
        <v>14618.57</v>
      </c>
      <c r="O212">
        <v>10904.63</v>
      </c>
      <c r="P212" t="s">
        <v>78</v>
      </c>
      <c r="Q212">
        <v>4</v>
      </c>
      <c r="R212" t="b">
        <f>ISBLANK(Table1[[#This Row],[Region]])</f>
        <v>0</v>
      </c>
    </row>
    <row r="213" spans="1:18" x14ac:dyDescent="0.3">
      <c r="A213" t="s">
        <v>442</v>
      </c>
      <c r="B213" s="1">
        <v>45727</v>
      </c>
      <c r="C213" t="s">
        <v>53</v>
      </c>
      <c r="D213" t="s">
        <v>443</v>
      </c>
      <c r="E213" t="s">
        <v>49</v>
      </c>
      <c r="F213" t="s">
        <v>29</v>
      </c>
      <c r="G213" t="s">
        <v>21</v>
      </c>
      <c r="H213" t="s">
        <v>22</v>
      </c>
      <c r="I213" t="s">
        <v>95</v>
      </c>
      <c r="J213">
        <v>8</v>
      </c>
      <c r="K213">
        <v>5757</v>
      </c>
      <c r="L213">
        <v>0.05</v>
      </c>
      <c r="M213">
        <v>43753.2</v>
      </c>
      <c r="N213">
        <v>36261.800000000003</v>
      </c>
      <c r="O213">
        <v>7491.4</v>
      </c>
      <c r="P213" t="s">
        <v>78</v>
      </c>
      <c r="Q213">
        <v>4</v>
      </c>
      <c r="R213" t="b">
        <f>ISBLANK(Table1[[#This Row],[Region]])</f>
        <v>0</v>
      </c>
    </row>
    <row r="214" spans="1:18" x14ac:dyDescent="0.3">
      <c r="A214" t="s">
        <v>444</v>
      </c>
      <c r="B214" s="1">
        <v>45664</v>
      </c>
      <c r="C214" t="s">
        <v>221</v>
      </c>
      <c r="D214" t="s">
        <v>35</v>
      </c>
      <c r="E214" t="s">
        <v>49</v>
      </c>
      <c r="F214" t="s">
        <v>29</v>
      </c>
      <c r="G214" t="s">
        <v>21</v>
      </c>
      <c r="H214" t="s">
        <v>55</v>
      </c>
      <c r="I214" t="s">
        <v>106</v>
      </c>
      <c r="J214">
        <v>1</v>
      </c>
      <c r="K214">
        <v>8975</v>
      </c>
      <c r="L214">
        <v>0.05</v>
      </c>
      <c r="M214">
        <v>8526.25</v>
      </c>
      <c r="N214">
        <v>5846.12</v>
      </c>
      <c r="O214">
        <v>2680.13</v>
      </c>
      <c r="P214" t="s">
        <v>78</v>
      </c>
      <c r="Q214">
        <v>4</v>
      </c>
      <c r="R214" t="b">
        <f>ISBLANK(Table1[[#This Row],[Region]])</f>
        <v>0</v>
      </c>
    </row>
    <row r="215" spans="1:18" x14ac:dyDescent="0.3">
      <c r="A215" t="s">
        <v>445</v>
      </c>
      <c r="B215" s="1">
        <v>45799</v>
      </c>
      <c r="C215" t="s">
        <v>183</v>
      </c>
      <c r="D215" t="s">
        <v>276</v>
      </c>
      <c r="E215" t="s">
        <v>28</v>
      </c>
      <c r="F215" t="s">
        <v>20</v>
      </c>
      <c r="G215" t="s">
        <v>30</v>
      </c>
      <c r="H215" t="s">
        <v>43</v>
      </c>
      <c r="I215" t="s">
        <v>44</v>
      </c>
      <c r="J215">
        <v>7</v>
      </c>
      <c r="K215">
        <v>3390</v>
      </c>
      <c r="L215">
        <v>0.05</v>
      </c>
      <c r="M215">
        <v>22543.5</v>
      </c>
      <c r="N215">
        <v>15514.48</v>
      </c>
      <c r="O215">
        <v>7029.02</v>
      </c>
      <c r="P215" t="s">
        <v>24</v>
      </c>
      <c r="Q215">
        <v>3</v>
      </c>
      <c r="R215" t="b">
        <f>ISBLANK(Table1[[#This Row],[Region]])</f>
        <v>0</v>
      </c>
    </row>
    <row r="216" spans="1:18" x14ac:dyDescent="0.3">
      <c r="A216" t="s">
        <v>446</v>
      </c>
      <c r="B216" s="1">
        <v>45818</v>
      </c>
      <c r="C216" t="s">
        <v>398</v>
      </c>
      <c r="D216" t="s">
        <v>395</v>
      </c>
      <c r="E216" t="s">
        <v>19</v>
      </c>
      <c r="F216" t="s">
        <v>29</v>
      </c>
      <c r="G216" t="s">
        <v>42</v>
      </c>
      <c r="H216" t="s">
        <v>55</v>
      </c>
      <c r="I216" t="s">
        <v>121</v>
      </c>
      <c r="J216">
        <v>8</v>
      </c>
      <c r="K216">
        <v>8787</v>
      </c>
      <c r="L216">
        <v>0.1</v>
      </c>
      <c r="M216">
        <v>63266.400000000001</v>
      </c>
      <c r="N216">
        <v>55089.96</v>
      </c>
      <c r="O216">
        <v>8176.44</v>
      </c>
      <c r="P216" t="s">
        <v>78</v>
      </c>
      <c r="Q216">
        <v>1</v>
      </c>
      <c r="R216" t="b">
        <f>ISBLANK(Table1[[#This Row],[Region]])</f>
        <v>0</v>
      </c>
    </row>
    <row r="217" spans="1:18" x14ac:dyDescent="0.3">
      <c r="A217" t="s">
        <v>447</v>
      </c>
      <c r="B217" s="1">
        <v>45743</v>
      </c>
      <c r="C217" t="s">
        <v>390</v>
      </c>
      <c r="D217" t="s">
        <v>286</v>
      </c>
      <c r="E217" t="s">
        <v>60</v>
      </c>
      <c r="F217" t="s">
        <v>29</v>
      </c>
      <c r="G217" t="s">
        <v>109</v>
      </c>
      <c r="H217" t="s">
        <v>448</v>
      </c>
      <c r="I217" t="s">
        <v>23</v>
      </c>
      <c r="J217">
        <v>5</v>
      </c>
      <c r="K217">
        <v>12944</v>
      </c>
      <c r="L217">
        <v>0.05</v>
      </c>
      <c r="M217">
        <v>61484</v>
      </c>
      <c r="N217">
        <v>44824.3</v>
      </c>
      <c r="O217">
        <v>16659.7</v>
      </c>
      <c r="P217" t="s">
        <v>32</v>
      </c>
      <c r="Q217">
        <v>2</v>
      </c>
      <c r="R217" t="b">
        <f>ISBLANK(Table1[[#This Row],[Region]])</f>
        <v>0</v>
      </c>
    </row>
    <row r="218" spans="1:18" x14ac:dyDescent="0.3">
      <c r="A218" t="s">
        <v>449</v>
      </c>
      <c r="B218" s="1">
        <v>45755</v>
      </c>
      <c r="C218" t="s">
        <v>146</v>
      </c>
      <c r="D218" t="s">
        <v>87</v>
      </c>
      <c r="E218" t="s">
        <v>60</v>
      </c>
      <c r="F218" t="s">
        <v>20</v>
      </c>
      <c r="G218" t="s">
        <v>109</v>
      </c>
      <c r="H218" t="s">
        <v>55</v>
      </c>
      <c r="I218" t="s">
        <v>121</v>
      </c>
      <c r="J218">
        <v>5</v>
      </c>
      <c r="K218">
        <v>23670</v>
      </c>
      <c r="L218">
        <v>0</v>
      </c>
      <c r="M218">
        <v>118350</v>
      </c>
      <c r="N218">
        <v>91221.5</v>
      </c>
      <c r="O218">
        <v>27128.5</v>
      </c>
      <c r="P218" t="s">
        <v>45</v>
      </c>
      <c r="Q218">
        <v>4</v>
      </c>
      <c r="R218" t="b">
        <f>ISBLANK(Table1[[#This Row],[Region]])</f>
        <v>0</v>
      </c>
    </row>
    <row r="219" spans="1:18" x14ac:dyDescent="0.3">
      <c r="A219" t="s">
        <v>450</v>
      </c>
      <c r="B219" s="1">
        <v>45934</v>
      </c>
      <c r="C219" t="s">
        <v>227</v>
      </c>
      <c r="D219" t="s">
        <v>369</v>
      </c>
      <c r="E219" t="s">
        <v>19</v>
      </c>
      <c r="F219" t="s">
        <v>29</v>
      </c>
      <c r="G219" t="s">
        <v>109</v>
      </c>
      <c r="H219" t="s">
        <v>55</v>
      </c>
      <c r="I219" t="s">
        <v>106</v>
      </c>
      <c r="J219">
        <v>8</v>
      </c>
      <c r="K219">
        <v>19953</v>
      </c>
      <c r="L219">
        <v>0</v>
      </c>
      <c r="M219">
        <v>159624</v>
      </c>
      <c r="N219">
        <v>98400.22</v>
      </c>
      <c r="O219">
        <v>61223.78</v>
      </c>
      <c r="P219" t="s">
        <v>45</v>
      </c>
      <c r="Q219">
        <v>5</v>
      </c>
      <c r="R219" t="b">
        <f>ISBLANK(Table1[[#This Row],[Region]])</f>
        <v>0</v>
      </c>
    </row>
    <row r="220" spans="1:18" x14ac:dyDescent="0.3">
      <c r="A220" t="s">
        <v>451</v>
      </c>
      <c r="B220" s="1">
        <v>45715</v>
      </c>
      <c r="C220" t="s">
        <v>317</v>
      </c>
      <c r="D220" t="s">
        <v>369</v>
      </c>
      <c r="E220" t="s">
        <v>19</v>
      </c>
      <c r="F220" t="s">
        <v>20</v>
      </c>
      <c r="G220" t="s">
        <v>30</v>
      </c>
      <c r="H220" t="s">
        <v>55</v>
      </c>
      <c r="I220" t="s">
        <v>61</v>
      </c>
      <c r="J220">
        <v>4</v>
      </c>
      <c r="K220">
        <v>6760</v>
      </c>
      <c r="L220">
        <v>0.2</v>
      </c>
      <c r="M220">
        <v>21632</v>
      </c>
      <c r="N220">
        <v>15118.8</v>
      </c>
      <c r="O220">
        <v>6513.2</v>
      </c>
      <c r="P220" t="s">
        <v>24</v>
      </c>
      <c r="Q220">
        <v>3</v>
      </c>
      <c r="R220" t="b">
        <f>ISBLANK(Table1[[#This Row],[Region]])</f>
        <v>0</v>
      </c>
    </row>
    <row r="221" spans="1:18" x14ac:dyDescent="0.3">
      <c r="A221" t="s">
        <v>452</v>
      </c>
      <c r="B221" s="1">
        <v>45936</v>
      </c>
      <c r="C221" t="s">
        <v>83</v>
      </c>
      <c r="D221" t="s">
        <v>201</v>
      </c>
      <c r="E221" t="s">
        <v>28</v>
      </c>
      <c r="F221" t="s">
        <v>20</v>
      </c>
      <c r="G221" t="s">
        <v>76</v>
      </c>
      <c r="H221" t="s">
        <v>22</v>
      </c>
      <c r="I221" t="s">
        <v>23</v>
      </c>
      <c r="J221">
        <v>2</v>
      </c>
      <c r="K221">
        <v>7618</v>
      </c>
      <c r="L221">
        <v>0.25</v>
      </c>
      <c r="M221">
        <v>11427</v>
      </c>
      <c r="N221">
        <v>7687.37</v>
      </c>
      <c r="O221">
        <v>3739.63</v>
      </c>
      <c r="P221" t="s">
        <v>78</v>
      </c>
      <c r="Q221">
        <v>3</v>
      </c>
      <c r="R221" t="b">
        <f>ISBLANK(Table1[[#This Row],[Region]])</f>
        <v>0</v>
      </c>
    </row>
    <row r="222" spans="1:18" x14ac:dyDescent="0.3">
      <c r="A222" t="s">
        <v>453</v>
      </c>
      <c r="B222" s="1">
        <v>45742</v>
      </c>
      <c r="C222" t="s">
        <v>245</v>
      </c>
      <c r="D222" t="s">
        <v>454</v>
      </c>
      <c r="E222" t="s">
        <v>28</v>
      </c>
      <c r="F222" t="s">
        <v>20</v>
      </c>
      <c r="G222" t="s">
        <v>36</v>
      </c>
      <c r="H222" t="s">
        <v>22</v>
      </c>
      <c r="I222" t="s">
        <v>95</v>
      </c>
      <c r="J222">
        <v>8</v>
      </c>
      <c r="K222">
        <v>4521</v>
      </c>
      <c r="L222">
        <v>0.15</v>
      </c>
      <c r="M222">
        <v>30742.799999999999</v>
      </c>
      <c r="N222">
        <v>24593.29</v>
      </c>
      <c r="O222">
        <v>6149.51</v>
      </c>
      <c r="P222" t="s">
        <v>45</v>
      </c>
      <c r="Q222">
        <v>2</v>
      </c>
      <c r="R222" t="b">
        <f>ISBLANK(Table1[[#This Row],[Region]])</f>
        <v>0</v>
      </c>
    </row>
    <row r="223" spans="1:18" x14ac:dyDescent="0.3">
      <c r="A223" t="s">
        <v>455</v>
      </c>
      <c r="B223" s="1">
        <v>45940</v>
      </c>
      <c r="C223" t="s">
        <v>308</v>
      </c>
      <c r="D223" t="s">
        <v>222</v>
      </c>
      <c r="E223" t="s">
        <v>49</v>
      </c>
      <c r="F223" t="s">
        <v>20</v>
      </c>
      <c r="G223" t="s">
        <v>36</v>
      </c>
      <c r="H223" t="s">
        <v>22</v>
      </c>
      <c r="I223" t="s">
        <v>72</v>
      </c>
      <c r="J223">
        <v>6</v>
      </c>
      <c r="K223">
        <v>11961</v>
      </c>
      <c r="L223">
        <v>0.1</v>
      </c>
      <c r="M223">
        <v>64589.4</v>
      </c>
      <c r="N223">
        <v>43263.48</v>
      </c>
      <c r="O223">
        <v>21325.919999999998</v>
      </c>
      <c r="P223" t="s">
        <v>45</v>
      </c>
      <c r="Q223">
        <v>5</v>
      </c>
      <c r="R223" t="b">
        <f>ISBLANK(Table1[[#This Row],[Region]])</f>
        <v>0</v>
      </c>
    </row>
    <row r="224" spans="1:18" x14ac:dyDescent="0.3">
      <c r="A224" t="s">
        <v>456</v>
      </c>
      <c r="B224" s="1">
        <v>45903</v>
      </c>
      <c r="C224" t="s">
        <v>139</v>
      </c>
      <c r="D224" t="s">
        <v>261</v>
      </c>
      <c r="E224" t="s">
        <v>28</v>
      </c>
      <c r="F224" t="s">
        <v>29</v>
      </c>
      <c r="G224" t="s">
        <v>102</v>
      </c>
      <c r="H224" t="s">
        <v>22</v>
      </c>
      <c r="I224" t="s">
        <v>72</v>
      </c>
      <c r="J224">
        <v>3</v>
      </c>
      <c r="K224">
        <v>4903</v>
      </c>
      <c r="L224">
        <v>0.25</v>
      </c>
      <c r="M224">
        <v>11031.75</v>
      </c>
      <c r="N224">
        <v>8307.44</v>
      </c>
      <c r="O224">
        <v>2724.31</v>
      </c>
      <c r="P224" t="s">
        <v>32</v>
      </c>
      <c r="Q224">
        <v>1</v>
      </c>
      <c r="R224" t="b">
        <f>ISBLANK(Table1[[#This Row],[Region]])</f>
        <v>0</v>
      </c>
    </row>
    <row r="225" spans="1:18" x14ac:dyDescent="0.3">
      <c r="A225" t="s">
        <v>457</v>
      </c>
      <c r="B225" s="1">
        <v>45759</v>
      </c>
      <c r="C225" t="s">
        <v>291</v>
      </c>
      <c r="D225" t="s">
        <v>458</v>
      </c>
      <c r="E225" t="s">
        <v>19</v>
      </c>
      <c r="F225" t="s">
        <v>29</v>
      </c>
      <c r="G225" t="s">
        <v>102</v>
      </c>
      <c r="H225" t="s">
        <v>37</v>
      </c>
      <c r="I225" t="s">
        <v>68</v>
      </c>
      <c r="J225">
        <v>5</v>
      </c>
      <c r="K225">
        <v>50360</v>
      </c>
      <c r="L225">
        <v>0.2</v>
      </c>
      <c r="M225">
        <v>201440</v>
      </c>
      <c r="N225">
        <v>132264.23000000001</v>
      </c>
      <c r="O225">
        <v>69175.77</v>
      </c>
      <c r="P225" t="s">
        <v>24</v>
      </c>
      <c r="Q225">
        <v>1</v>
      </c>
      <c r="R225" t="b">
        <f>ISBLANK(Table1[[#This Row],[Region]])</f>
        <v>0</v>
      </c>
    </row>
    <row r="226" spans="1:18" x14ac:dyDescent="0.3">
      <c r="A226" t="s">
        <v>459</v>
      </c>
      <c r="B226" s="1">
        <v>45790</v>
      </c>
      <c r="C226" t="s">
        <v>112</v>
      </c>
      <c r="D226" t="s">
        <v>339</v>
      </c>
      <c r="E226" t="s">
        <v>19</v>
      </c>
      <c r="F226" t="s">
        <v>20</v>
      </c>
      <c r="G226" t="s">
        <v>42</v>
      </c>
      <c r="H226" t="s">
        <v>37</v>
      </c>
      <c r="I226" t="s">
        <v>110</v>
      </c>
      <c r="J226">
        <v>1</v>
      </c>
      <c r="K226">
        <v>61864</v>
      </c>
      <c r="L226">
        <v>0.05</v>
      </c>
      <c r="M226">
        <v>58770.8</v>
      </c>
      <c r="N226">
        <v>33863.980000000003</v>
      </c>
      <c r="O226">
        <v>24906.82</v>
      </c>
      <c r="P226" t="s">
        <v>45</v>
      </c>
      <c r="Q226">
        <v>2</v>
      </c>
      <c r="R226" t="b">
        <f>ISBLANK(Table1[[#This Row],[Region]])</f>
        <v>0</v>
      </c>
    </row>
    <row r="227" spans="1:18" x14ac:dyDescent="0.3">
      <c r="A227" t="s">
        <v>460</v>
      </c>
      <c r="B227" s="1">
        <v>46021</v>
      </c>
      <c r="C227" t="s">
        <v>40</v>
      </c>
      <c r="D227" t="s">
        <v>267</v>
      </c>
      <c r="E227" t="s">
        <v>49</v>
      </c>
      <c r="F227" t="s">
        <v>29</v>
      </c>
      <c r="G227" t="s">
        <v>109</v>
      </c>
      <c r="H227" t="s">
        <v>43</v>
      </c>
      <c r="I227" t="s">
        <v>44</v>
      </c>
      <c r="J227">
        <v>4</v>
      </c>
      <c r="K227">
        <v>7909</v>
      </c>
      <c r="L227">
        <v>0.05</v>
      </c>
      <c r="M227">
        <v>30054.2</v>
      </c>
      <c r="N227">
        <v>24678.71</v>
      </c>
      <c r="O227">
        <v>5375.49</v>
      </c>
      <c r="P227" t="s">
        <v>78</v>
      </c>
      <c r="Q227">
        <v>4</v>
      </c>
      <c r="R227" t="b">
        <f>ISBLANK(Table1[[#This Row],[Region]])</f>
        <v>0</v>
      </c>
    </row>
    <row r="228" spans="1:18" x14ac:dyDescent="0.3">
      <c r="A228" t="s">
        <v>461</v>
      </c>
      <c r="B228" s="1">
        <v>45820</v>
      </c>
      <c r="C228" t="s">
        <v>74</v>
      </c>
      <c r="D228" t="s">
        <v>54</v>
      </c>
      <c r="E228" t="s">
        <v>28</v>
      </c>
      <c r="F228" t="s">
        <v>20</v>
      </c>
      <c r="G228" t="s">
        <v>36</v>
      </c>
      <c r="H228" t="s">
        <v>55</v>
      </c>
      <c r="I228" t="s">
        <v>56</v>
      </c>
      <c r="J228">
        <v>8</v>
      </c>
      <c r="K228">
        <v>17944</v>
      </c>
      <c r="L228">
        <v>0.05</v>
      </c>
      <c r="M228">
        <v>136374.39999999999</v>
      </c>
      <c r="N228">
        <v>79534.960000000006</v>
      </c>
      <c r="O228">
        <v>56839.44</v>
      </c>
      <c r="P228" t="s">
        <v>32</v>
      </c>
      <c r="Q228">
        <v>2</v>
      </c>
      <c r="R228" t="b">
        <f>ISBLANK(Table1[[#This Row],[Region]])</f>
        <v>0</v>
      </c>
    </row>
    <row r="229" spans="1:18" x14ac:dyDescent="0.3">
      <c r="A229" t="s">
        <v>462</v>
      </c>
      <c r="B229" s="1">
        <v>45796</v>
      </c>
      <c r="C229" t="s">
        <v>463</v>
      </c>
      <c r="D229" t="s">
        <v>35</v>
      </c>
      <c r="E229" t="s">
        <v>19</v>
      </c>
      <c r="F229" t="s">
        <v>20</v>
      </c>
      <c r="G229" t="s">
        <v>42</v>
      </c>
      <c r="H229" t="s">
        <v>37</v>
      </c>
      <c r="I229" t="s">
        <v>68</v>
      </c>
      <c r="J229">
        <v>8</v>
      </c>
      <c r="K229">
        <v>43632</v>
      </c>
      <c r="L229">
        <v>0</v>
      </c>
      <c r="M229">
        <v>349056</v>
      </c>
      <c r="N229">
        <v>288905.86</v>
      </c>
      <c r="O229">
        <v>60150.14</v>
      </c>
      <c r="P229" t="s">
        <v>45</v>
      </c>
      <c r="Q229">
        <v>5</v>
      </c>
      <c r="R229" t="b">
        <f>ISBLANK(Table1[[#This Row],[Region]])</f>
        <v>0</v>
      </c>
    </row>
    <row r="230" spans="1:18" x14ac:dyDescent="0.3">
      <c r="A230" t="s">
        <v>464</v>
      </c>
      <c r="B230" s="1">
        <v>45858</v>
      </c>
      <c r="C230" t="s">
        <v>227</v>
      </c>
      <c r="D230" t="s">
        <v>91</v>
      </c>
      <c r="E230" t="s">
        <v>28</v>
      </c>
      <c r="F230" t="s">
        <v>20</v>
      </c>
      <c r="G230" t="s">
        <v>36</v>
      </c>
      <c r="H230" t="s">
        <v>55</v>
      </c>
      <c r="I230" t="s">
        <v>56</v>
      </c>
      <c r="J230">
        <v>3</v>
      </c>
      <c r="K230">
        <v>17315</v>
      </c>
      <c r="L230">
        <v>0.15</v>
      </c>
      <c r="M230">
        <v>44153.25</v>
      </c>
      <c r="N230">
        <v>34216.6</v>
      </c>
      <c r="O230">
        <v>9936.65</v>
      </c>
      <c r="P230" t="s">
        <v>45</v>
      </c>
      <c r="Q230">
        <v>3</v>
      </c>
      <c r="R230" t="b">
        <f>ISBLANK(Table1[[#This Row],[Region]])</f>
        <v>0</v>
      </c>
    </row>
    <row r="231" spans="1:18" x14ac:dyDescent="0.3">
      <c r="A231" t="s">
        <v>465</v>
      </c>
      <c r="B231" s="1">
        <v>45774</v>
      </c>
      <c r="C231" t="s">
        <v>313</v>
      </c>
      <c r="D231" t="s">
        <v>173</v>
      </c>
      <c r="E231" t="s">
        <v>28</v>
      </c>
      <c r="F231" t="s">
        <v>29</v>
      </c>
      <c r="G231" t="s">
        <v>50</v>
      </c>
      <c r="H231" t="s">
        <v>55</v>
      </c>
      <c r="I231" t="s">
        <v>121</v>
      </c>
      <c r="J231">
        <v>7</v>
      </c>
      <c r="K231">
        <v>7980</v>
      </c>
      <c r="L231">
        <v>0.2</v>
      </c>
      <c r="M231">
        <v>44688</v>
      </c>
      <c r="N231">
        <v>25067.84</v>
      </c>
      <c r="O231">
        <v>19620.16</v>
      </c>
      <c r="P231" t="s">
        <v>45</v>
      </c>
      <c r="Q231">
        <v>1</v>
      </c>
      <c r="R231" t="b">
        <f>ISBLANK(Table1[[#This Row],[Region]])</f>
        <v>0</v>
      </c>
    </row>
    <row r="232" spans="1:18" x14ac:dyDescent="0.3">
      <c r="A232" t="s">
        <v>466</v>
      </c>
      <c r="B232" s="1">
        <v>45791</v>
      </c>
      <c r="C232" t="s">
        <v>152</v>
      </c>
      <c r="D232" t="s">
        <v>246</v>
      </c>
      <c r="E232" t="s">
        <v>19</v>
      </c>
      <c r="F232" t="s">
        <v>20</v>
      </c>
      <c r="G232" t="s">
        <v>30</v>
      </c>
      <c r="H232" t="s">
        <v>37</v>
      </c>
      <c r="I232" t="s">
        <v>68</v>
      </c>
      <c r="J232">
        <v>4</v>
      </c>
      <c r="K232">
        <v>50142</v>
      </c>
      <c r="L232">
        <v>0.05</v>
      </c>
      <c r="M232">
        <v>190539.6</v>
      </c>
      <c r="N232">
        <v>145715.85</v>
      </c>
      <c r="O232">
        <v>44823.75</v>
      </c>
      <c r="P232" t="s">
        <v>45</v>
      </c>
      <c r="Q232">
        <v>4</v>
      </c>
      <c r="R232" t="b">
        <f>ISBLANK(Table1[[#This Row],[Region]])</f>
        <v>0</v>
      </c>
    </row>
    <row r="233" spans="1:18" x14ac:dyDescent="0.3">
      <c r="A233" t="s">
        <v>467</v>
      </c>
      <c r="B233" s="1">
        <v>45938</v>
      </c>
      <c r="C233" t="s">
        <v>308</v>
      </c>
      <c r="D233" t="s">
        <v>330</v>
      </c>
      <c r="E233" t="s">
        <v>60</v>
      </c>
      <c r="F233" t="s">
        <v>29</v>
      </c>
      <c r="G233" t="s">
        <v>109</v>
      </c>
      <c r="H233" t="s">
        <v>22</v>
      </c>
      <c r="I233" t="s">
        <v>95</v>
      </c>
      <c r="J233">
        <v>3</v>
      </c>
      <c r="K233">
        <v>6368</v>
      </c>
      <c r="L233">
        <v>0.25</v>
      </c>
      <c r="M233">
        <v>14328</v>
      </c>
      <c r="N233">
        <v>10145.56</v>
      </c>
      <c r="O233">
        <v>4182.4399999999996</v>
      </c>
      <c r="P233" t="s">
        <v>78</v>
      </c>
      <c r="Q233">
        <v>1</v>
      </c>
      <c r="R233" t="b">
        <f>ISBLANK(Table1[[#This Row],[Region]])</f>
        <v>0</v>
      </c>
    </row>
    <row r="234" spans="1:18" x14ac:dyDescent="0.3">
      <c r="A234" t="s">
        <v>468</v>
      </c>
      <c r="B234" s="1">
        <v>45830</v>
      </c>
      <c r="C234" t="s">
        <v>258</v>
      </c>
      <c r="D234" t="s">
        <v>250</v>
      </c>
      <c r="E234" t="s">
        <v>19</v>
      </c>
      <c r="F234" t="s">
        <v>20</v>
      </c>
      <c r="G234" t="s">
        <v>102</v>
      </c>
      <c r="H234" t="s">
        <v>55</v>
      </c>
      <c r="I234" t="s">
        <v>106</v>
      </c>
      <c r="J234">
        <v>3</v>
      </c>
      <c r="K234">
        <v>18972</v>
      </c>
      <c r="L234">
        <v>0</v>
      </c>
      <c r="M234">
        <v>56916</v>
      </c>
      <c r="N234">
        <v>47070.79</v>
      </c>
      <c r="O234">
        <v>9845.2099999999991</v>
      </c>
      <c r="P234" t="s">
        <v>45</v>
      </c>
      <c r="Q234">
        <v>1</v>
      </c>
      <c r="R234" t="b">
        <f>ISBLANK(Table1[[#This Row],[Region]])</f>
        <v>0</v>
      </c>
    </row>
    <row r="235" spans="1:18" x14ac:dyDescent="0.3">
      <c r="A235" t="s">
        <v>469</v>
      </c>
      <c r="B235" s="1">
        <v>45821</v>
      </c>
      <c r="C235" t="s">
        <v>308</v>
      </c>
      <c r="D235" t="s">
        <v>204</v>
      </c>
      <c r="E235" t="s">
        <v>28</v>
      </c>
      <c r="F235" t="s">
        <v>20</v>
      </c>
      <c r="G235" t="s">
        <v>21</v>
      </c>
      <c r="H235" t="s">
        <v>43</v>
      </c>
      <c r="I235" t="s">
        <v>77</v>
      </c>
      <c r="J235">
        <v>4</v>
      </c>
      <c r="K235">
        <v>1256</v>
      </c>
      <c r="L235">
        <v>0.25</v>
      </c>
      <c r="M235">
        <v>3768</v>
      </c>
      <c r="N235">
        <v>2221.92</v>
      </c>
      <c r="O235">
        <v>1546.08</v>
      </c>
      <c r="P235" t="s">
        <v>24</v>
      </c>
      <c r="Q235">
        <v>4</v>
      </c>
      <c r="R235" t="b">
        <f>ISBLANK(Table1[[#This Row],[Region]])</f>
        <v>0</v>
      </c>
    </row>
    <row r="236" spans="1:18" x14ac:dyDescent="0.3">
      <c r="A236" t="s">
        <v>470</v>
      </c>
      <c r="B236" s="1">
        <v>45698</v>
      </c>
      <c r="C236" t="s">
        <v>378</v>
      </c>
      <c r="D236" t="s">
        <v>395</v>
      </c>
      <c r="E236" t="s">
        <v>60</v>
      </c>
      <c r="F236" t="s">
        <v>29</v>
      </c>
      <c r="G236" t="s">
        <v>30</v>
      </c>
      <c r="H236" t="s">
        <v>55</v>
      </c>
      <c r="I236" t="s">
        <v>106</v>
      </c>
      <c r="J236">
        <v>5</v>
      </c>
      <c r="K236">
        <v>7782</v>
      </c>
      <c r="L236">
        <v>0.1</v>
      </c>
      <c r="M236">
        <v>35019</v>
      </c>
      <c r="N236">
        <v>27699.37</v>
      </c>
      <c r="O236">
        <v>7319.63</v>
      </c>
      <c r="P236" t="s">
        <v>24</v>
      </c>
      <c r="Q236">
        <v>5</v>
      </c>
      <c r="R236" t="b">
        <f>ISBLANK(Table1[[#This Row],[Region]])</f>
        <v>0</v>
      </c>
    </row>
    <row r="237" spans="1:18" x14ac:dyDescent="0.3">
      <c r="A237" t="s">
        <v>471</v>
      </c>
      <c r="B237" s="1">
        <v>45815</v>
      </c>
      <c r="C237" t="s">
        <v>89</v>
      </c>
      <c r="D237" t="s">
        <v>48</v>
      </c>
      <c r="E237" t="s">
        <v>49</v>
      </c>
      <c r="F237" t="s">
        <v>29</v>
      </c>
      <c r="G237" t="s">
        <v>109</v>
      </c>
      <c r="H237" t="s">
        <v>55</v>
      </c>
      <c r="I237" t="s">
        <v>121</v>
      </c>
      <c r="J237">
        <v>8</v>
      </c>
      <c r="K237">
        <v>5041</v>
      </c>
      <c r="L237">
        <v>0.2</v>
      </c>
      <c r="M237">
        <v>32262.400000000001</v>
      </c>
      <c r="N237">
        <v>26667.78</v>
      </c>
      <c r="O237">
        <v>5594.62</v>
      </c>
      <c r="P237" t="s">
        <v>32</v>
      </c>
      <c r="Q237">
        <v>5</v>
      </c>
      <c r="R237" t="b">
        <f>ISBLANK(Table1[[#This Row],[Region]])</f>
        <v>0</v>
      </c>
    </row>
    <row r="238" spans="1:18" x14ac:dyDescent="0.3">
      <c r="A238" t="s">
        <v>472</v>
      </c>
      <c r="B238" s="1">
        <v>45858</v>
      </c>
      <c r="C238" t="s">
        <v>285</v>
      </c>
      <c r="D238" t="s">
        <v>473</v>
      </c>
      <c r="E238" t="s">
        <v>19</v>
      </c>
      <c r="F238" t="s">
        <v>20</v>
      </c>
      <c r="G238" t="s">
        <v>42</v>
      </c>
      <c r="H238" t="s">
        <v>37</v>
      </c>
      <c r="I238" t="s">
        <v>38</v>
      </c>
      <c r="J238">
        <v>8</v>
      </c>
      <c r="K238">
        <v>62488</v>
      </c>
      <c r="L238">
        <v>0.1</v>
      </c>
      <c r="M238">
        <v>449913.59999999998</v>
      </c>
      <c r="N238">
        <v>319962.19</v>
      </c>
      <c r="O238">
        <v>129951.41</v>
      </c>
      <c r="P238" t="s">
        <v>32</v>
      </c>
      <c r="Q238">
        <v>1</v>
      </c>
      <c r="R238" t="b">
        <f>ISBLANK(Table1[[#This Row],[Region]])</f>
        <v>0</v>
      </c>
    </row>
    <row r="239" spans="1:18" x14ac:dyDescent="0.3">
      <c r="A239" t="s">
        <v>474</v>
      </c>
      <c r="B239" s="1">
        <v>45704</v>
      </c>
      <c r="C239" t="s">
        <v>322</v>
      </c>
      <c r="D239" t="s">
        <v>120</v>
      </c>
      <c r="E239" t="s">
        <v>28</v>
      </c>
      <c r="F239" t="s">
        <v>29</v>
      </c>
      <c r="G239" t="s">
        <v>76</v>
      </c>
      <c r="H239" t="s">
        <v>37</v>
      </c>
      <c r="I239" t="s">
        <v>68</v>
      </c>
      <c r="J239">
        <v>7</v>
      </c>
      <c r="K239">
        <v>6900</v>
      </c>
      <c r="L239">
        <v>0.25</v>
      </c>
      <c r="M239">
        <v>36225</v>
      </c>
      <c r="N239">
        <v>25119.02</v>
      </c>
      <c r="O239">
        <v>11105.98</v>
      </c>
      <c r="P239" t="s">
        <v>32</v>
      </c>
      <c r="Q239">
        <v>5</v>
      </c>
      <c r="R239" t="b">
        <f>ISBLANK(Table1[[#This Row],[Region]])</f>
        <v>0</v>
      </c>
    </row>
    <row r="240" spans="1:18" x14ac:dyDescent="0.3">
      <c r="A240" t="s">
        <v>475</v>
      </c>
      <c r="B240" s="1">
        <v>46005</v>
      </c>
      <c r="C240" t="s">
        <v>317</v>
      </c>
      <c r="D240" t="s">
        <v>364</v>
      </c>
      <c r="E240" t="s">
        <v>19</v>
      </c>
      <c r="F240" t="s">
        <v>29</v>
      </c>
      <c r="G240" t="s">
        <v>76</v>
      </c>
      <c r="H240" t="s">
        <v>55</v>
      </c>
      <c r="I240" t="s">
        <v>61</v>
      </c>
      <c r="J240">
        <v>1</v>
      </c>
      <c r="K240">
        <v>17715</v>
      </c>
      <c r="L240">
        <v>0.15</v>
      </c>
      <c r="M240">
        <v>15057.75</v>
      </c>
      <c r="N240">
        <v>11642.96</v>
      </c>
      <c r="O240">
        <v>3414.79</v>
      </c>
      <c r="P240" t="s">
        <v>78</v>
      </c>
      <c r="Q240">
        <v>4</v>
      </c>
      <c r="R240" t="b">
        <f>ISBLANK(Table1[[#This Row],[Region]])</f>
        <v>0</v>
      </c>
    </row>
    <row r="241" spans="1:18" x14ac:dyDescent="0.3">
      <c r="A241" t="s">
        <v>476</v>
      </c>
      <c r="B241" s="1">
        <v>45919</v>
      </c>
      <c r="C241" t="s">
        <v>212</v>
      </c>
      <c r="D241" t="s">
        <v>126</v>
      </c>
      <c r="E241" t="s">
        <v>49</v>
      </c>
      <c r="F241" t="s">
        <v>20</v>
      </c>
      <c r="G241" t="s">
        <v>76</v>
      </c>
      <c r="H241" t="s">
        <v>22</v>
      </c>
      <c r="I241" t="s">
        <v>95</v>
      </c>
      <c r="J241">
        <v>3</v>
      </c>
      <c r="K241">
        <v>11231</v>
      </c>
      <c r="L241">
        <v>0</v>
      </c>
      <c r="M241">
        <v>33693</v>
      </c>
      <c r="N241">
        <v>21521.62</v>
      </c>
      <c r="O241">
        <v>12171.38</v>
      </c>
      <c r="P241" t="s">
        <v>45</v>
      </c>
      <c r="Q241">
        <v>2</v>
      </c>
      <c r="R241" t="b">
        <f>ISBLANK(Table1[[#This Row],[Region]])</f>
        <v>0</v>
      </c>
    </row>
    <row r="242" spans="1:18" x14ac:dyDescent="0.3">
      <c r="A242" t="s">
        <v>477</v>
      </c>
      <c r="B242" s="1">
        <v>45898</v>
      </c>
      <c r="C242" t="s">
        <v>112</v>
      </c>
      <c r="D242" t="s">
        <v>219</v>
      </c>
      <c r="E242" t="s">
        <v>19</v>
      </c>
      <c r="F242" t="s">
        <v>20</v>
      </c>
      <c r="G242" t="s">
        <v>21</v>
      </c>
      <c r="H242" t="s">
        <v>22</v>
      </c>
      <c r="I242" t="s">
        <v>31</v>
      </c>
      <c r="J242">
        <v>4</v>
      </c>
      <c r="K242">
        <v>7204</v>
      </c>
      <c r="L242">
        <v>0</v>
      </c>
      <c r="M242">
        <v>28816</v>
      </c>
      <c r="N242">
        <v>18999.669999999998</v>
      </c>
      <c r="O242">
        <v>9816.33</v>
      </c>
      <c r="P242" t="s">
        <v>24</v>
      </c>
      <c r="Q242">
        <v>4</v>
      </c>
      <c r="R242" t="b">
        <f>ISBLANK(Table1[[#This Row],[Region]])</f>
        <v>0</v>
      </c>
    </row>
    <row r="243" spans="1:18" x14ac:dyDescent="0.3">
      <c r="A243" t="s">
        <v>478</v>
      </c>
      <c r="B243" s="1">
        <v>45793</v>
      </c>
      <c r="C243" t="s">
        <v>206</v>
      </c>
      <c r="D243" t="s">
        <v>479</v>
      </c>
      <c r="E243" t="s">
        <v>28</v>
      </c>
      <c r="F243" t="s">
        <v>20</v>
      </c>
      <c r="G243" t="s">
        <v>30</v>
      </c>
      <c r="H243" t="s">
        <v>37</v>
      </c>
      <c r="I243" t="s">
        <v>38</v>
      </c>
      <c r="J243">
        <v>5</v>
      </c>
      <c r="K243">
        <v>1209</v>
      </c>
      <c r="L243">
        <v>0.25</v>
      </c>
      <c r="M243">
        <v>4533.75</v>
      </c>
      <c r="N243">
        <v>2567.62</v>
      </c>
      <c r="O243">
        <v>1966.13</v>
      </c>
      <c r="P243" t="s">
        <v>78</v>
      </c>
      <c r="Q243">
        <v>5</v>
      </c>
      <c r="R243" t="b">
        <f>ISBLANK(Table1[[#This Row],[Region]])</f>
        <v>0</v>
      </c>
    </row>
    <row r="244" spans="1:18" x14ac:dyDescent="0.3">
      <c r="A244" t="s">
        <v>480</v>
      </c>
      <c r="B244" s="1">
        <v>45922</v>
      </c>
      <c r="C244" t="s">
        <v>63</v>
      </c>
      <c r="D244" t="s">
        <v>276</v>
      </c>
      <c r="E244" t="s">
        <v>60</v>
      </c>
      <c r="F244" t="s">
        <v>20</v>
      </c>
      <c r="G244" t="s">
        <v>42</v>
      </c>
      <c r="H244" t="s">
        <v>37</v>
      </c>
      <c r="I244" t="s">
        <v>110</v>
      </c>
      <c r="J244">
        <v>6</v>
      </c>
      <c r="K244">
        <v>30242</v>
      </c>
      <c r="L244">
        <v>0.25</v>
      </c>
      <c r="M244">
        <v>136089</v>
      </c>
      <c r="N244">
        <v>116693.42</v>
      </c>
      <c r="O244">
        <v>19395.580000000002</v>
      </c>
      <c r="P244" t="s">
        <v>45</v>
      </c>
      <c r="Q244">
        <v>5</v>
      </c>
      <c r="R244" t="b">
        <f>ISBLANK(Table1[[#This Row],[Region]])</f>
        <v>0</v>
      </c>
    </row>
    <row r="245" spans="1:18" x14ac:dyDescent="0.3">
      <c r="A245" t="s">
        <v>481</v>
      </c>
      <c r="B245" s="1">
        <v>45804</v>
      </c>
      <c r="C245" t="s">
        <v>482</v>
      </c>
      <c r="D245" t="s">
        <v>411</v>
      </c>
      <c r="E245" t="s">
        <v>19</v>
      </c>
      <c r="F245" t="s">
        <v>29</v>
      </c>
      <c r="G245" t="s">
        <v>76</v>
      </c>
      <c r="H245" t="s">
        <v>43</v>
      </c>
      <c r="I245" t="s">
        <v>77</v>
      </c>
      <c r="J245">
        <v>7</v>
      </c>
      <c r="K245">
        <v>7044</v>
      </c>
      <c r="L245">
        <v>0.2</v>
      </c>
      <c r="M245">
        <v>39446.400000000001</v>
      </c>
      <c r="N245">
        <v>30487.68</v>
      </c>
      <c r="O245">
        <v>8958.7199999999993</v>
      </c>
      <c r="P245" t="s">
        <v>24</v>
      </c>
      <c r="Q245">
        <v>4</v>
      </c>
      <c r="R245" t="b">
        <f>ISBLANK(Table1[[#This Row],[Region]])</f>
        <v>0</v>
      </c>
    </row>
    <row r="246" spans="1:18" x14ac:dyDescent="0.3">
      <c r="A246" t="s">
        <v>483</v>
      </c>
      <c r="B246" s="1">
        <v>45897</v>
      </c>
      <c r="C246" t="s">
        <v>294</v>
      </c>
      <c r="D246" t="s">
        <v>181</v>
      </c>
      <c r="E246" t="s">
        <v>19</v>
      </c>
      <c r="F246" t="s">
        <v>20</v>
      </c>
      <c r="G246" t="s">
        <v>50</v>
      </c>
      <c r="H246" t="s">
        <v>22</v>
      </c>
      <c r="I246" t="s">
        <v>72</v>
      </c>
      <c r="J246">
        <v>8</v>
      </c>
      <c r="K246">
        <v>10163</v>
      </c>
      <c r="L246">
        <v>0.2</v>
      </c>
      <c r="M246">
        <v>65043.199999999997</v>
      </c>
      <c r="N246">
        <v>48821.99</v>
      </c>
      <c r="O246">
        <v>16221.21</v>
      </c>
      <c r="P246" t="s">
        <v>32</v>
      </c>
      <c r="Q246">
        <v>5</v>
      </c>
      <c r="R246" t="b">
        <f>ISBLANK(Table1[[#This Row],[Region]])</f>
        <v>0</v>
      </c>
    </row>
    <row r="247" spans="1:18" x14ac:dyDescent="0.3">
      <c r="A247" t="s">
        <v>484</v>
      </c>
      <c r="B247" s="1">
        <v>45834</v>
      </c>
      <c r="C247" t="s">
        <v>47</v>
      </c>
      <c r="D247" t="s">
        <v>153</v>
      </c>
      <c r="E247" t="s">
        <v>28</v>
      </c>
      <c r="F247" t="s">
        <v>29</v>
      </c>
      <c r="G247" t="s">
        <v>30</v>
      </c>
      <c r="H247" t="s">
        <v>37</v>
      </c>
      <c r="I247" t="s">
        <v>68</v>
      </c>
      <c r="J247">
        <v>6</v>
      </c>
      <c r="K247">
        <v>4594</v>
      </c>
      <c r="L247">
        <v>0.2</v>
      </c>
      <c r="M247">
        <v>22051.200000000001</v>
      </c>
      <c r="N247">
        <v>18164.98</v>
      </c>
      <c r="O247">
        <v>3886.22</v>
      </c>
      <c r="P247" t="s">
        <v>45</v>
      </c>
      <c r="Q247">
        <v>1</v>
      </c>
      <c r="R247" t="b">
        <f>ISBLANK(Table1[[#This Row],[Region]])</f>
        <v>0</v>
      </c>
    </row>
    <row r="248" spans="1:18" x14ac:dyDescent="0.3">
      <c r="A248" t="s">
        <v>485</v>
      </c>
      <c r="B248" s="1">
        <v>45770</v>
      </c>
      <c r="C248" t="s">
        <v>86</v>
      </c>
      <c r="D248" t="s">
        <v>144</v>
      </c>
      <c r="E248" t="s">
        <v>19</v>
      </c>
      <c r="F248" t="s">
        <v>20</v>
      </c>
      <c r="G248" t="s">
        <v>36</v>
      </c>
      <c r="H248" t="s">
        <v>22</v>
      </c>
      <c r="I248" t="s">
        <v>95</v>
      </c>
      <c r="J248">
        <v>5</v>
      </c>
      <c r="K248">
        <v>2079</v>
      </c>
      <c r="L248">
        <v>0.15</v>
      </c>
      <c r="M248">
        <v>8835.75</v>
      </c>
      <c r="N248">
        <v>6462.14</v>
      </c>
      <c r="O248">
        <v>2373.61</v>
      </c>
      <c r="P248" t="s">
        <v>24</v>
      </c>
      <c r="Q248">
        <v>2</v>
      </c>
      <c r="R248" t="b">
        <f>ISBLANK(Table1[[#This Row],[Region]])</f>
        <v>0</v>
      </c>
    </row>
    <row r="249" spans="1:18" x14ac:dyDescent="0.3">
      <c r="A249" t="s">
        <v>486</v>
      </c>
      <c r="B249" s="1">
        <v>45867</v>
      </c>
      <c r="C249" t="s">
        <v>203</v>
      </c>
      <c r="D249" t="s">
        <v>443</v>
      </c>
      <c r="E249" t="s">
        <v>19</v>
      </c>
      <c r="F249" t="s">
        <v>20</v>
      </c>
      <c r="G249" t="s">
        <v>50</v>
      </c>
      <c r="H249" t="s">
        <v>37</v>
      </c>
      <c r="I249" t="s">
        <v>38</v>
      </c>
      <c r="J249">
        <v>2</v>
      </c>
      <c r="K249">
        <v>27654</v>
      </c>
      <c r="L249">
        <v>0.1</v>
      </c>
      <c r="M249">
        <v>49777.2</v>
      </c>
      <c r="N249">
        <v>37211.870000000003</v>
      </c>
      <c r="O249">
        <v>12565.33</v>
      </c>
      <c r="P249" t="s">
        <v>78</v>
      </c>
      <c r="Q249">
        <v>4</v>
      </c>
      <c r="R249" t="b">
        <f>ISBLANK(Table1[[#This Row],[Region]])</f>
        <v>0</v>
      </c>
    </row>
    <row r="250" spans="1:18" x14ac:dyDescent="0.3">
      <c r="A250" t="s">
        <v>487</v>
      </c>
      <c r="B250" s="1">
        <v>45953</v>
      </c>
      <c r="C250" t="s">
        <v>329</v>
      </c>
      <c r="D250" t="s">
        <v>204</v>
      </c>
      <c r="E250" t="s">
        <v>49</v>
      </c>
      <c r="F250" t="s">
        <v>29</v>
      </c>
      <c r="G250" t="s">
        <v>50</v>
      </c>
      <c r="H250" t="s">
        <v>43</v>
      </c>
      <c r="I250" t="s">
        <v>65</v>
      </c>
      <c r="J250">
        <v>2</v>
      </c>
      <c r="K250">
        <v>4428</v>
      </c>
      <c r="L250">
        <v>0.1</v>
      </c>
      <c r="M250">
        <v>7970.4</v>
      </c>
      <c r="N250">
        <v>5788.18</v>
      </c>
      <c r="O250">
        <v>2182.2199999999998</v>
      </c>
      <c r="P250" t="s">
        <v>78</v>
      </c>
      <c r="Q250">
        <v>3</v>
      </c>
      <c r="R250" t="b">
        <f>ISBLANK(Table1[[#This Row],[Region]])</f>
        <v>0</v>
      </c>
    </row>
    <row r="251" spans="1:18" x14ac:dyDescent="0.3">
      <c r="A251" t="s">
        <v>488</v>
      </c>
      <c r="B251" s="1">
        <v>45784</v>
      </c>
      <c r="C251" t="s">
        <v>291</v>
      </c>
      <c r="D251" t="s">
        <v>126</v>
      </c>
      <c r="E251" t="s">
        <v>60</v>
      </c>
      <c r="F251" t="s">
        <v>29</v>
      </c>
      <c r="G251" t="s">
        <v>42</v>
      </c>
      <c r="H251" t="s">
        <v>43</v>
      </c>
      <c r="I251" t="s">
        <v>65</v>
      </c>
      <c r="J251">
        <v>7</v>
      </c>
      <c r="K251">
        <v>732</v>
      </c>
      <c r="L251">
        <v>0.2</v>
      </c>
      <c r="M251">
        <v>4099.2</v>
      </c>
      <c r="N251">
        <v>3347.6</v>
      </c>
      <c r="O251">
        <v>751.6</v>
      </c>
      <c r="P251" t="s">
        <v>32</v>
      </c>
      <c r="Q251">
        <v>4</v>
      </c>
      <c r="R251" t="b">
        <f>ISBLANK(Table1[[#This Row],[Region]])</f>
        <v>0</v>
      </c>
    </row>
    <row r="252" spans="1:18" x14ac:dyDescent="0.3">
      <c r="A252" t="s">
        <v>489</v>
      </c>
      <c r="B252" s="1">
        <v>45779</v>
      </c>
      <c r="C252" t="s">
        <v>116</v>
      </c>
      <c r="D252" t="s">
        <v>105</v>
      </c>
      <c r="E252" t="s">
        <v>60</v>
      </c>
      <c r="F252" t="s">
        <v>29</v>
      </c>
      <c r="G252" t="s">
        <v>21</v>
      </c>
      <c r="H252" t="s">
        <v>55</v>
      </c>
      <c r="I252" t="s">
        <v>106</v>
      </c>
      <c r="J252">
        <v>2</v>
      </c>
      <c r="K252">
        <v>10395</v>
      </c>
      <c r="L252">
        <v>0.2</v>
      </c>
      <c r="M252">
        <v>16632</v>
      </c>
      <c r="N252">
        <v>10659.05</v>
      </c>
      <c r="O252">
        <v>5972.95</v>
      </c>
      <c r="P252" t="s">
        <v>78</v>
      </c>
      <c r="Q252">
        <v>3</v>
      </c>
      <c r="R252" t="b">
        <f>ISBLANK(Table1[[#This Row],[Region]])</f>
        <v>0</v>
      </c>
    </row>
    <row r="253" spans="1:18" x14ac:dyDescent="0.3">
      <c r="A253" t="s">
        <v>490</v>
      </c>
      <c r="B253" s="1">
        <v>45970</v>
      </c>
      <c r="C253" t="s">
        <v>164</v>
      </c>
      <c r="D253" t="s">
        <v>222</v>
      </c>
      <c r="E253" t="s">
        <v>28</v>
      </c>
      <c r="F253" t="s">
        <v>20</v>
      </c>
      <c r="G253" t="s">
        <v>30</v>
      </c>
      <c r="H253" t="s">
        <v>22</v>
      </c>
      <c r="I253" t="s">
        <v>31</v>
      </c>
      <c r="J253">
        <v>1</v>
      </c>
      <c r="K253">
        <v>6635</v>
      </c>
      <c r="L253">
        <v>0.1</v>
      </c>
      <c r="M253">
        <v>5971.5</v>
      </c>
      <c r="N253">
        <v>4431.6000000000004</v>
      </c>
      <c r="O253">
        <v>1539.9</v>
      </c>
      <c r="P253" t="s">
        <v>45</v>
      </c>
      <c r="Q253">
        <v>4</v>
      </c>
      <c r="R253" t="b">
        <f>ISBLANK(Table1[[#This Row],[Region]])</f>
        <v>0</v>
      </c>
    </row>
    <row r="254" spans="1:18" x14ac:dyDescent="0.3">
      <c r="A254" t="s">
        <v>491</v>
      </c>
      <c r="B254" s="1">
        <v>45932</v>
      </c>
      <c r="C254" t="s">
        <v>249</v>
      </c>
      <c r="D254" t="s">
        <v>195</v>
      </c>
      <c r="E254" t="s">
        <v>60</v>
      </c>
      <c r="F254" t="s">
        <v>29</v>
      </c>
      <c r="G254" t="s">
        <v>50</v>
      </c>
      <c r="H254" t="s">
        <v>43</v>
      </c>
      <c r="I254" t="s">
        <v>44</v>
      </c>
      <c r="J254">
        <v>5</v>
      </c>
      <c r="K254">
        <v>7165</v>
      </c>
      <c r="L254">
        <v>0</v>
      </c>
      <c r="M254">
        <v>35825</v>
      </c>
      <c r="N254">
        <v>30895.22</v>
      </c>
      <c r="O254">
        <v>4929.78</v>
      </c>
      <c r="P254" t="s">
        <v>78</v>
      </c>
      <c r="Q254">
        <v>3</v>
      </c>
      <c r="R254" t="b">
        <f>ISBLANK(Table1[[#This Row],[Region]])</f>
        <v>0</v>
      </c>
    </row>
    <row r="255" spans="1:18" x14ac:dyDescent="0.3">
      <c r="A255" t="s">
        <v>492</v>
      </c>
      <c r="B255" s="1">
        <v>45982</v>
      </c>
      <c r="C255" t="s">
        <v>218</v>
      </c>
      <c r="D255" t="s">
        <v>54</v>
      </c>
      <c r="E255" t="s">
        <v>19</v>
      </c>
      <c r="F255" t="s">
        <v>29</v>
      </c>
      <c r="G255" t="s">
        <v>21</v>
      </c>
      <c r="H255" t="s">
        <v>43</v>
      </c>
      <c r="I255" t="s">
        <v>77</v>
      </c>
      <c r="J255">
        <v>6</v>
      </c>
      <c r="K255">
        <v>4930</v>
      </c>
      <c r="L255">
        <v>0</v>
      </c>
      <c r="M255">
        <v>29580</v>
      </c>
      <c r="N255">
        <v>22878.65</v>
      </c>
      <c r="O255">
        <v>6701.35</v>
      </c>
      <c r="P255" t="s">
        <v>45</v>
      </c>
      <c r="Q255">
        <v>1</v>
      </c>
      <c r="R255" t="b">
        <f>ISBLANK(Table1[[#This Row],[Region]])</f>
        <v>0</v>
      </c>
    </row>
    <row r="256" spans="1:18" x14ac:dyDescent="0.3">
      <c r="A256" t="s">
        <v>493</v>
      </c>
      <c r="B256" s="1">
        <v>45724</v>
      </c>
      <c r="C256" t="s">
        <v>338</v>
      </c>
      <c r="D256" t="s">
        <v>181</v>
      </c>
      <c r="E256" t="s">
        <v>19</v>
      </c>
      <c r="F256" t="s">
        <v>29</v>
      </c>
      <c r="G256" t="s">
        <v>102</v>
      </c>
      <c r="H256" t="s">
        <v>22</v>
      </c>
      <c r="I256" t="s">
        <v>23</v>
      </c>
      <c r="J256">
        <v>5</v>
      </c>
      <c r="K256">
        <v>14589</v>
      </c>
      <c r="L256">
        <v>0.25</v>
      </c>
      <c r="M256">
        <v>54708.75</v>
      </c>
      <c r="N256">
        <v>30586.959999999999</v>
      </c>
      <c r="O256">
        <v>24121.79</v>
      </c>
      <c r="P256" t="s">
        <v>32</v>
      </c>
      <c r="Q256">
        <v>3</v>
      </c>
      <c r="R256" t="b">
        <f>ISBLANK(Table1[[#This Row],[Region]])</f>
        <v>0</v>
      </c>
    </row>
    <row r="257" spans="1:18" x14ac:dyDescent="0.3">
      <c r="A257" t="s">
        <v>494</v>
      </c>
      <c r="B257" s="1">
        <v>45902</v>
      </c>
      <c r="C257" t="s">
        <v>116</v>
      </c>
      <c r="D257" t="s">
        <v>81</v>
      </c>
      <c r="E257" t="s">
        <v>28</v>
      </c>
      <c r="F257" t="s">
        <v>29</v>
      </c>
      <c r="G257" t="s">
        <v>76</v>
      </c>
      <c r="H257" t="s">
        <v>43</v>
      </c>
      <c r="I257" t="s">
        <v>158</v>
      </c>
      <c r="J257">
        <v>3</v>
      </c>
      <c r="K257">
        <v>577</v>
      </c>
      <c r="L257">
        <v>0.1</v>
      </c>
      <c r="M257">
        <v>1557.9</v>
      </c>
      <c r="N257">
        <v>932.45</v>
      </c>
      <c r="O257">
        <v>625.45000000000005</v>
      </c>
      <c r="P257" t="s">
        <v>24</v>
      </c>
      <c r="Q257">
        <v>2</v>
      </c>
      <c r="R257" t="b">
        <f>ISBLANK(Table1[[#This Row],[Region]])</f>
        <v>0</v>
      </c>
    </row>
    <row r="258" spans="1:18" x14ac:dyDescent="0.3">
      <c r="A258" t="s">
        <v>495</v>
      </c>
      <c r="B258" s="1">
        <v>45942</v>
      </c>
      <c r="C258" t="s">
        <v>336</v>
      </c>
      <c r="D258" t="s">
        <v>458</v>
      </c>
      <c r="E258" t="s">
        <v>28</v>
      </c>
      <c r="F258" t="s">
        <v>29</v>
      </c>
      <c r="G258" t="s">
        <v>50</v>
      </c>
      <c r="H258" t="s">
        <v>37</v>
      </c>
      <c r="I258" t="s">
        <v>68</v>
      </c>
      <c r="J258">
        <v>7</v>
      </c>
      <c r="K258">
        <v>33754</v>
      </c>
      <c r="L258">
        <v>0.05</v>
      </c>
      <c r="M258">
        <v>224464.1</v>
      </c>
      <c r="N258">
        <v>184692.08</v>
      </c>
      <c r="O258">
        <v>39772.019999999997</v>
      </c>
      <c r="P258" t="s">
        <v>24</v>
      </c>
      <c r="Q258">
        <v>5</v>
      </c>
      <c r="R258" t="b">
        <f>ISBLANK(Table1[[#This Row],[Region]])</f>
        <v>0</v>
      </c>
    </row>
    <row r="259" spans="1:18" x14ac:dyDescent="0.3">
      <c r="A259" t="s">
        <v>496</v>
      </c>
      <c r="B259" s="1">
        <v>45819</v>
      </c>
      <c r="C259" t="s">
        <v>212</v>
      </c>
      <c r="D259" t="s">
        <v>278</v>
      </c>
      <c r="E259" t="s">
        <v>28</v>
      </c>
      <c r="F259" t="s">
        <v>20</v>
      </c>
      <c r="G259" t="s">
        <v>102</v>
      </c>
      <c r="H259" t="s">
        <v>22</v>
      </c>
      <c r="I259" t="s">
        <v>95</v>
      </c>
      <c r="J259">
        <v>4</v>
      </c>
      <c r="K259">
        <v>14708</v>
      </c>
      <c r="L259">
        <v>0</v>
      </c>
      <c r="M259">
        <v>58832</v>
      </c>
      <c r="N259">
        <v>43107.66</v>
      </c>
      <c r="O259">
        <v>15724.34</v>
      </c>
      <c r="P259" t="s">
        <v>78</v>
      </c>
      <c r="Q259">
        <v>2</v>
      </c>
      <c r="R259" t="b">
        <f>ISBLANK(Table1[[#This Row],[Region]])</f>
        <v>0</v>
      </c>
    </row>
    <row r="260" spans="1:18" x14ac:dyDescent="0.3">
      <c r="A260" t="s">
        <v>497</v>
      </c>
      <c r="B260" s="1">
        <v>45678</v>
      </c>
      <c r="C260" t="s">
        <v>53</v>
      </c>
      <c r="D260" t="s">
        <v>333</v>
      </c>
      <c r="E260" t="s">
        <v>49</v>
      </c>
      <c r="F260" t="s">
        <v>29</v>
      </c>
      <c r="G260" t="s">
        <v>102</v>
      </c>
      <c r="H260" t="s">
        <v>22</v>
      </c>
      <c r="I260" t="s">
        <v>23</v>
      </c>
      <c r="J260">
        <v>3</v>
      </c>
      <c r="K260">
        <v>2904</v>
      </c>
      <c r="L260">
        <v>0.2</v>
      </c>
      <c r="M260">
        <v>6969.6</v>
      </c>
      <c r="N260">
        <v>4620.8999999999996</v>
      </c>
      <c r="O260">
        <v>2348.6999999999998</v>
      </c>
      <c r="P260" t="s">
        <v>24</v>
      </c>
      <c r="Q260">
        <v>4</v>
      </c>
      <c r="R260" t="b">
        <f>ISBLANK(Table1[[#This Row],[Region]])</f>
        <v>0</v>
      </c>
    </row>
    <row r="261" spans="1:18" x14ac:dyDescent="0.3">
      <c r="A261" t="s">
        <v>498</v>
      </c>
      <c r="B261" s="1">
        <v>45930</v>
      </c>
      <c r="C261" t="s">
        <v>112</v>
      </c>
      <c r="D261" t="s">
        <v>101</v>
      </c>
      <c r="E261" t="s">
        <v>19</v>
      </c>
      <c r="F261" t="s">
        <v>29</v>
      </c>
      <c r="G261" t="s">
        <v>42</v>
      </c>
      <c r="H261" t="s">
        <v>22</v>
      </c>
      <c r="I261" t="s">
        <v>23</v>
      </c>
      <c r="J261">
        <v>3</v>
      </c>
      <c r="K261">
        <v>2513</v>
      </c>
      <c r="L261">
        <v>0.05</v>
      </c>
      <c r="M261">
        <v>7162.05</v>
      </c>
      <c r="N261">
        <v>5094.63</v>
      </c>
      <c r="O261">
        <v>2067.42</v>
      </c>
      <c r="P261" t="s">
        <v>45</v>
      </c>
      <c r="Q261">
        <v>2</v>
      </c>
      <c r="R261" t="b">
        <f>ISBLANK(Table1[[#This Row],[Region]])</f>
        <v>0</v>
      </c>
    </row>
    <row r="262" spans="1:18" x14ac:dyDescent="0.3">
      <c r="A262" t="s">
        <v>499</v>
      </c>
      <c r="B262" s="1">
        <v>45821</v>
      </c>
      <c r="C262" t="s">
        <v>139</v>
      </c>
      <c r="D262" t="s">
        <v>407</v>
      </c>
      <c r="E262" t="s">
        <v>19</v>
      </c>
      <c r="F262" t="s">
        <v>20</v>
      </c>
      <c r="G262" t="s">
        <v>30</v>
      </c>
      <c r="H262" t="s">
        <v>37</v>
      </c>
      <c r="I262" t="s">
        <v>68</v>
      </c>
      <c r="J262">
        <v>5</v>
      </c>
      <c r="K262">
        <v>11780</v>
      </c>
      <c r="L262">
        <v>0.2</v>
      </c>
      <c r="M262">
        <v>47120</v>
      </c>
      <c r="N262">
        <v>33310.550000000003</v>
      </c>
      <c r="O262">
        <v>13809.45</v>
      </c>
      <c r="P262" t="s">
        <v>78</v>
      </c>
      <c r="Q262">
        <v>5</v>
      </c>
      <c r="R262" t="b">
        <f>ISBLANK(Table1[[#This Row],[Region]])</f>
        <v>0</v>
      </c>
    </row>
    <row r="263" spans="1:18" x14ac:dyDescent="0.3">
      <c r="A263" t="s">
        <v>500</v>
      </c>
      <c r="B263" s="1">
        <v>45841</v>
      </c>
      <c r="C263" t="s">
        <v>227</v>
      </c>
      <c r="D263" t="s">
        <v>190</v>
      </c>
      <c r="E263" t="s">
        <v>19</v>
      </c>
      <c r="F263" t="s">
        <v>29</v>
      </c>
      <c r="G263" t="s">
        <v>50</v>
      </c>
      <c r="H263" t="s">
        <v>22</v>
      </c>
      <c r="I263" t="s">
        <v>95</v>
      </c>
      <c r="J263">
        <v>5</v>
      </c>
      <c r="K263">
        <v>11264</v>
      </c>
      <c r="L263">
        <v>0.15</v>
      </c>
      <c r="M263">
        <v>47872</v>
      </c>
      <c r="N263">
        <v>27241.78</v>
      </c>
      <c r="O263">
        <v>20630.22</v>
      </c>
      <c r="P263" t="s">
        <v>32</v>
      </c>
      <c r="Q263">
        <v>1</v>
      </c>
      <c r="R263" t="b">
        <f>ISBLANK(Table1[[#This Row],[Region]])</f>
        <v>0</v>
      </c>
    </row>
    <row r="264" spans="1:18" x14ac:dyDescent="0.3">
      <c r="A264" t="s">
        <v>501</v>
      </c>
      <c r="B264" s="1">
        <v>45840</v>
      </c>
      <c r="C264" t="s">
        <v>164</v>
      </c>
      <c r="D264" t="s">
        <v>207</v>
      </c>
      <c r="E264" t="s">
        <v>19</v>
      </c>
      <c r="F264" t="s">
        <v>29</v>
      </c>
      <c r="G264" t="s">
        <v>21</v>
      </c>
      <c r="H264" t="s">
        <v>43</v>
      </c>
      <c r="I264" t="s">
        <v>158</v>
      </c>
      <c r="J264">
        <v>8</v>
      </c>
      <c r="K264">
        <v>1112</v>
      </c>
      <c r="L264">
        <v>0.15</v>
      </c>
      <c r="M264">
        <v>7561.6</v>
      </c>
      <c r="N264">
        <v>6313.71</v>
      </c>
      <c r="O264">
        <v>1247.8900000000001</v>
      </c>
      <c r="P264" t="s">
        <v>78</v>
      </c>
      <c r="Q264">
        <v>3</v>
      </c>
      <c r="R264" t="b">
        <f>ISBLANK(Table1[[#This Row],[Region]])</f>
        <v>0</v>
      </c>
    </row>
    <row r="265" spans="1:18" x14ac:dyDescent="0.3">
      <c r="A265" t="s">
        <v>502</v>
      </c>
      <c r="B265" s="1">
        <v>45876</v>
      </c>
      <c r="C265" t="s">
        <v>432</v>
      </c>
      <c r="D265" t="s">
        <v>140</v>
      </c>
      <c r="E265" t="s">
        <v>19</v>
      </c>
      <c r="F265" t="s">
        <v>20</v>
      </c>
      <c r="G265" t="s">
        <v>36</v>
      </c>
      <c r="H265" t="s">
        <v>22</v>
      </c>
      <c r="I265" t="s">
        <v>23</v>
      </c>
      <c r="J265">
        <v>3</v>
      </c>
      <c r="K265">
        <v>8786</v>
      </c>
      <c r="L265">
        <v>0.1</v>
      </c>
      <c r="M265">
        <v>23722.2</v>
      </c>
      <c r="N265">
        <v>20049.28</v>
      </c>
      <c r="O265">
        <v>3672.92</v>
      </c>
      <c r="P265" t="s">
        <v>78</v>
      </c>
      <c r="Q265">
        <v>4</v>
      </c>
      <c r="R265" t="b">
        <f>ISBLANK(Table1[[#This Row],[Region]])</f>
        <v>0</v>
      </c>
    </row>
    <row r="266" spans="1:18" x14ac:dyDescent="0.3">
      <c r="A266" t="s">
        <v>503</v>
      </c>
      <c r="B266" s="1">
        <v>45994</v>
      </c>
      <c r="C266" t="s">
        <v>86</v>
      </c>
      <c r="D266" t="s">
        <v>75</v>
      </c>
      <c r="E266" t="s">
        <v>19</v>
      </c>
      <c r="F266" t="s">
        <v>20</v>
      </c>
      <c r="G266" t="s">
        <v>36</v>
      </c>
      <c r="H266" t="s">
        <v>37</v>
      </c>
      <c r="I266" t="s">
        <v>68</v>
      </c>
      <c r="J266">
        <v>8</v>
      </c>
      <c r="K266">
        <v>74712</v>
      </c>
      <c r="L266">
        <v>0.15</v>
      </c>
      <c r="M266">
        <v>508041.6</v>
      </c>
      <c r="N266">
        <v>279953.98</v>
      </c>
      <c r="O266">
        <v>228087.62</v>
      </c>
      <c r="P266" t="s">
        <v>32</v>
      </c>
      <c r="Q266">
        <v>3</v>
      </c>
      <c r="R266" t="b">
        <f>ISBLANK(Table1[[#This Row],[Region]])</f>
        <v>0</v>
      </c>
    </row>
    <row r="267" spans="1:18" x14ac:dyDescent="0.3">
      <c r="A267" t="s">
        <v>504</v>
      </c>
      <c r="B267" s="1">
        <v>46006</v>
      </c>
      <c r="C267" t="s">
        <v>212</v>
      </c>
      <c r="D267" t="s">
        <v>156</v>
      </c>
      <c r="E267" t="s">
        <v>19</v>
      </c>
      <c r="F267" t="s">
        <v>29</v>
      </c>
      <c r="G267" t="s">
        <v>30</v>
      </c>
      <c r="H267" t="s">
        <v>37</v>
      </c>
      <c r="I267" t="s">
        <v>38</v>
      </c>
      <c r="J267">
        <v>7</v>
      </c>
      <c r="K267">
        <v>47293</v>
      </c>
      <c r="L267">
        <v>0.05</v>
      </c>
      <c r="M267">
        <v>314498.45</v>
      </c>
      <c r="N267">
        <v>222463.1</v>
      </c>
      <c r="O267">
        <v>92035.35</v>
      </c>
      <c r="P267" t="s">
        <v>32</v>
      </c>
      <c r="Q267">
        <v>5</v>
      </c>
      <c r="R267" t="b">
        <f>ISBLANK(Table1[[#This Row],[Region]])</f>
        <v>0</v>
      </c>
    </row>
    <row r="268" spans="1:18" x14ac:dyDescent="0.3">
      <c r="A268" t="s">
        <v>505</v>
      </c>
      <c r="B268" s="1">
        <v>45960</v>
      </c>
      <c r="C268" t="s">
        <v>231</v>
      </c>
      <c r="D268" t="s">
        <v>120</v>
      </c>
      <c r="E268" t="s">
        <v>28</v>
      </c>
      <c r="F268" t="s">
        <v>29</v>
      </c>
      <c r="G268" t="s">
        <v>30</v>
      </c>
      <c r="H268" t="s">
        <v>22</v>
      </c>
      <c r="I268" t="s">
        <v>95</v>
      </c>
      <c r="J268">
        <v>1</v>
      </c>
      <c r="K268">
        <v>4398</v>
      </c>
      <c r="L268">
        <v>0.25</v>
      </c>
      <c r="M268">
        <v>3298.5</v>
      </c>
      <c r="N268">
        <v>2856.36</v>
      </c>
      <c r="O268">
        <v>442.14</v>
      </c>
      <c r="P268" t="s">
        <v>24</v>
      </c>
      <c r="Q268">
        <v>3</v>
      </c>
      <c r="R268" t="b">
        <f>ISBLANK(Table1[[#This Row],[Region]])</f>
        <v>0</v>
      </c>
    </row>
    <row r="269" spans="1:18" x14ac:dyDescent="0.3">
      <c r="A269" t="s">
        <v>506</v>
      </c>
      <c r="B269" s="1">
        <v>45793</v>
      </c>
      <c r="C269" t="s">
        <v>198</v>
      </c>
      <c r="D269" t="s">
        <v>105</v>
      </c>
      <c r="E269" t="s">
        <v>60</v>
      </c>
      <c r="F269" t="s">
        <v>20</v>
      </c>
      <c r="G269" t="s">
        <v>36</v>
      </c>
      <c r="H269" t="s">
        <v>22</v>
      </c>
      <c r="I269" t="s">
        <v>23</v>
      </c>
      <c r="J269">
        <v>5</v>
      </c>
      <c r="K269">
        <v>11185</v>
      </c>
      <c r="L269">
        <v>0.2</v>
      </c>
      <c r="M269">
        <v>44740</v>
      </c>
      <c r="N269">
        <v>24690.65</v>
      </c>
      <c r="O269">
        <v>20049.349999999999</v>
      </c>
      <c r="P269" t="s">
        <v>24</v>
      </c>
      <c r="Q269">
        <v>4</v>
      </c>
      <c r="R269" t="b">
        <f>ISBLANK(Table1[[#This Row],[Region]])</f>
        <v>0</v>
      </c>
    </row>
    <row r="270" spans="1:18" x14ac:dyDescent="0.3">
      <c r="A270" t="s">
        <v>507</v>
      </c>
      <c r="B270" s="1">
        <v>45917</v>
      </c>
      <c r="C270" t="s">
        <v>116</v>
      </c>
      <c r="D270" t="s">
        <v>243</v>
      </c>
      <c r="E270" t="s">
        <v>19</v>
      </c>
      <c r="F270" t="s">
        <v>20</v>
      </c>
      <c r="G270" t="s">
        <v>102</v>
      </c>
      <c r="H270" t="s">
        <v>55</v>
      </c>
      <c r="I270" t="s">
        <v>106</v>
      </c>
      <c r="J270">
        <v>8</v>
      </c>
      <c r="K270">
        <v>10278</v>
      </c>
      <c r="L270">
        <v>0.05</v>
      </c>
      <c r="M270">
        <v>78112.800000000003</v>
      </c>
      <c r="N270">
        <v>44963.62</v>
      </c>
      <c r="O270">
        <v>33149.18</v>
      </c>
      <c r="P270" t="s">
        <v>45</v>
      </c>
      <c r="Q270">
        <v>3</v>
      </c>
      <c r="R270" t="b">
        <f>ISBLANK(Table1[[#This Row],[Region]])</f>
        <v>0</v>
      </c>
    </row>
    <row r="271" spans="1:18" x14ac:dyDescent="0.3">
      <c r="A271" t="s">
        <v>508</v>
      </c>
      <c r="B271" s="1">
        <v>45780</v>
      </c>
      <c r="C271" t="s">
        <v>146</v>
      </c>
      <c r="D271" t="s">
        <v>134</v>
      </c>
      <c r="E271" t="s">
        <v>49</v>
      </c>
      <c r="F271" t="s">
        <v>20</v>
      </c>
      <c r="G271" t="s">
        <v>36</v>
      </c>
      <c r="H271" t="s">
        <v>22</v>
      </c>
      <c r="I271" t="s">
        <v>23</v>
      </c>
      <c r="J271">
        <v>5</v>
      </c>
      <c r="K271">
        <v>10557</v>
      </c>
      <c r="L271">
        <v>0.2</v>
      </c>
      <c r="M271">
        <v>42228</v>
      </c>
      <c r="N271">
        <v>36535.160000000003</v>
      </c>
      <c r="O271">
        <v>5692.84</v>
      </c>
      <c r="P271" t="s">
        <v>32</v>
      </c>
      <c r="Q271">
        <v>2</v>
      </c>
      <c r="R271" t="b">
        <f>ISBLANK(Table1[[#This Row],[Region]])</f>
        <v>0</v>
      </c>
    </row>
    <row r="272" spans="1:18" x14ac:dyDescent="0.3">
      <c r="A272" t="s">
        <v>509</v>
      </c>
      <c r="B272" s="1">
        <v>45768</v>
      </c>
      <c r="C272" t="s">
        <v>224</v>
      </c>
      <c r="D272" t="s">
        <v>54</v>
      </c>
      <c r="E272" t="s">
        <v>28</v>
      </c>
      <c r="F272" t="s">
        <v>20</v>
      </c>
      <c r="G272" t="s">
        <v>21</v>
      </c>
      <c r="H272" t="s">
        <v>22</v>
      </c>
      <c r="I272" t="s">
        <v>95</v>
      </c>
      <c r="J272">
        <v>4</v>
      </c>
      <c r="K272">
        <v>2434</v>
      </c>
      <c r="L272">
        <v>0.05</v>
      </c>
      <c r="M272">
        <v>9249.2000000000007</v>
      </c>
      <c r="N272">
        <v>6316.72</v>
      </c>
      <c r="O272">
        <v>2932.48</v>
      </c>
      <c r="P272" t="s">
        <v>78</v>
      </c>
      <c r="Q272">
        <v>3</v>
      </c>
      <c r="R272" t="b">
        <f>ISBLANK(Table1[[#This Row],[Region]])</f>
        <v>0</v>
      </c>
    </row>
    <row r="273" spans="1:18" x14ac:dyDescent="0.3">
      <c r="A273" t="s">
        <v>510</v>
      </c>
      <c r="B273" s="1">
        <v>45926</v>
      </c>
      <c r="C273" t="s">
        <v>348</v>
      </c>
      <c r="D273" t="s">
        <v>120</v>
      </c>
      <c r="E273" t="s">
        <v>49</v>
      </c>
      <c r="F273" t="s">
        <v>20</v>
      </c>
      <c r="G273" t="s">
        <v>42</v>
      </c>
      <c r="H273" t="s">
        <v>37</v>
      </c>
      <c r="I273" t="s">
        <v>68</v>
      </c>
      <c r="J273">
        <v>5</v>
      </c>
      <c r="K273">
        <v>63294</v>
      </c>
      <c r="L273">
        <v>0</v>
      </c>
      <c r="M273">
        <v>316470</v>
      </c>
      <c r="N273">
        <v>240946.68</v>
      </c>
      <c r="O273">
        <v>75523.320000000007</v>
      </c>
      <c r="P273" t="s">
        <v>24</v>
      </c>
      <c r="Q273">
        <v>1</v>
      </c>
      <c r="R273" t="b">
        <f>ISBLANK(Table1[[#This Row],[Region]])</f>
        <v>0</v>
      </c>
    </row>
    <row r="274" spans="1:18" x14ac:dyDescent="0.3">
      <c r="A274" t="s">
        <v>511</v>
      </c>
      <c r="B274" s="1">
        <v>45709</v>
      </c>
      <c r="C274" t="s">
        <v>227</v>
      </c>
      <c r="D274" t="s">
        <v>261</v>
      </c>
      <c r="E274" t="s">
        <v>19</v>
      </c>
      <c r="F274" t="s">
        <v>29</v>
      </c>
      <c r="G274" t="s">
        <v>30</v>
      </c>
      <c r="H274" t="s">
        <v>43</v>
      </c>
      <c r="I274" t="s">
        <v>44</v>
      </c>
      <c r="J274">
        <v>6</v>
      </c>
      <c r="K274">
        <v>3850</v>
      </c>
      <c r="L274">
        <v>0.15</v>
      </c>
      <c r="M274">
        <v>19635</v>
      </c>
      <c r="N274">
        <v>14847.57</v>
      </c>
      <c r="O274">
        <v>4787.43</v>
      </c>
      <c r="P274" t="s">
        <v>45</v>
      </c>
      <c r="Q274">
        <v>4</v>
      </c>
      <c r="R274" t="b">
        <f>ISBLANK(Table1[[#This Row],[Region]])</f>
        <v>0</v>
      </c>
    </row>
    <row r="275" spans="1:18" x14ac:dyDescent="0.3">
      <c r="A275" t="s">
        <v>512</v>
      </c>
      <c r="B275" s="1">
        <v>45921</v>
      </c>
      <c r="C275" t="s">
        <v>432</v>
      </c>
      <c r="D275" t="s">
        <v>165</v>
      </c>
      <c r="E275" t="s">
        <v>60</v>
      </c>
      <c r="F275" t="s">
        <v>20</v>
      </c>
      <c r="G275" t="s">
        <v>109</v>
      </c>
      <c r="H275" t="s">
        <v>22</v>
      </c>
      <c r="I275" t="s">
        <v>31</v>
      </c>
      <c r="J275">
        <v>6</v>
      </c>
      <c r="K275">
        <v>8580</v>
      </c>
      <c r="L275">
        <v>0.15</v>
      </c>
      <c r="M275">
        <v>43758</v>
      </c>
      <c r="N275">
        <v>26130.05</v>
      </c>
      <c r="O275">
        <v>17627.95</v>
      </c>
      <c r="P275" t="s">
        <v>32</v>
      </c>
      <c r="Q275">
        <v>2</v>
      </c>
      <c r="R275" t="b">
        <f>ISBLANK(Table1[[#This Row],[Region]])</f>
        <v>0</v>
      </c>
    </row>
    <row r="276" spans="1:18" x14ac:dyDescent="0.3">
      <c r="A276" t="s">
        <v>513</v>
      </c>
      <c r="B276" s="1">
        <v>45898</v>
      </c>
      <c r="C276" t="s">
        <v>300</v>
      </c>
      <c r="D276" t="s">
        <v>369</v>
      </c>
      <c r="E276" t="s">
        <v>28</v>
      </c>
      <c r="F276" t="s">
        <v>29</v>
      </c>
      <c r="G276" t="s">
        <v>109</v>
      </c>
      <c r="H276" t="s">
        <v>55</v>
      </c>
      <c r="I276" t="s">
        <v>106</v>
      </c>
      <c r="J276">
        <v>3</v>
      </c>
      <c r="K276">
        <v>7153</v>
      </c>
      <c r="L276">
        <v>0</v>
      </c>
      <c r="M276">
        <v>21459</v>
      </c>
      <c r="N276">
        <v>14051.43</v>
      </c>
      <c r="O276">
        <v>7407.57</v>
      </c>
      <c r="P276" t="s">
        <v>32</v>
      </c>
      <c r="Q276">
        <v>1</v>
      </c>
      <c r="R276" t="b">
        <f>ISBLANK(Table1[[#This Row],[Region]])</f>
        <v>0</v>
      </c>
    </row>
    <row r="277" spans="1:18" x14ac:dyDescent="0.3">
      <c r="A277" t="s">
        <v>514</v>
      </c>
      <c r="B277" s="1">
        <v>45977</v>
      </c>
      <c r="C277" t="s">
        <v>249</v>
      </c>
      <c r="D277" t="s">
        <v>409</v>
      </c>
      <c r="E277" t="s">
        <v>19</v>
      </c>
      <c r="F277" t="s">
        <v>20</v>
      </c>
      <c r="G277" t="s">
        <v>42</v>
      </c>
      <c r="H277" t="s">
        <v>22</v>
      </c>
      <c r="I277" t="s">
        <v>95</v>
      </c>
      <c r="J277">
        <v>8</v>
      </c>
      <c r="K277">
        <v>356</v>
      </c>
      <c r="L277">
        <v>0.2</v>
      </c>
      <c r="M277">
        <v>2278.4</v>
      </c>
      <c r="N277">
        <v>1960.22</v>
      </c>
      <c r="O277">
        <v>318.18</v>
      </c>
      <c r="P277" t="s">
        <v>78</v>
      </c>
      <c r="Q277">
        <v>3</v>
      </c>
      <c r="R277" t="b">
        <f>ISBLANK(Table1[[#This Row],[Region]])</f>
        <v>0</v>
      </c>
    </row>
    <row r="278" spans="1:18" x14ac:dyDescent="0.3">
      <c r="A278" t="s">
        <v>515</v>
      </c>
      <c r="B278" s="1">
        <v>45798</v>
      </c>
      <c r="C278" t="s">
        <v>17</v>
      </c>
      <c r="D278" t="s">
        <v>373</v>
      </c>
      <c r="E278" t="s">
        <v>60</v>
      </c>
      <c r="F278" t="s">
        <v>29</v>
      </c>
      <c r="G278" t="s">
        <v>21</v>
      </c>
      <c r="H278" t="s">
        <v>43</v>
      </c>
      <c r="I278" t="s">
        <v>158</v>
      </c>
      <c r="J278">
        <v>4</v>
      </c>
      <c r="K278">
        <v>4746</v>
      </c>
      <c r="L278">
        <v>0.05</v>
      </c>
      <c r="M278">
        <v>18034.8</v>
      </c>
      <c r="N278">
        <v>15227.1</v>
      </c>
      <c r="O278">
        <v>2807.7</v>
      </c>
      <c r="P278" t="s">
        <v>45</v>
      </c>
      <c r="Q278">
        <v>3</v>
      </c>
      <c r="R278" t="b">
        <f>ISBLANK(Table1[[#This Row],[Region]])</f>
        <v>0</v>
      </c>
    </row>
    <row r="279" spans="1:18" x14ac:dyDescent="0.3">
      <c r="A279" t="s">
        <v>516</v>
      </c>
      <c r="B279" s="1">
        <v>45874</v>
      </c>
      <c r="C279" t="s">
        <v>161</v>
      </c>
      <c r="D279" t="s">
        <v>517</v>
      </c>
      <c r="E279" t="s">
        <v>60</v>
      </c>
      <c r="F279" t="s">
        <v>20</v>
      </c>
      <c r="G279" t="s">
        <v>76</v>
      </c>
      <c r="H279" t="s">
        <v>37</v>
      </c>
      <c r="I279" t="s">
        <v>51</v>
      </c>
      <c r="J279">
        <v>7</v>
      </c>
      <c r="K279">
        <v>37441</v>
      </c>
      <c r="L279">
        <v>0</v>
      </c>
      <c r="M279">
        <v>262087</v>
      </c>
      <c r="N279">
        <v>224597.14</v>
      </c>
      <c r="O279">
        <v>37489.86</v>
      </c>
      <c r="P279" t="s">
        <v>24</v>
      </c>
      <c r="Q279">
        <v>3</v>
      </c>
      <c r="R279" t="b">
        <f>ISBLANK(Table1[[#This Row],[Region]])</f>
        <v>0</v>
      </c>
    </row>
    <row r="280" spans="1:18" x14ac:dyDescent="0.3">
      <c r="A280" t="s">
        <v>518</v>
      </c>
      <c r="B280" s="1">
        <v>45938</v>
      </c>
      <c r="C280" t="s">
        <v>463</v>
      </c>
      <c r="D280" t="s">
        <v>443</v>
      </c>
      <c r="E280" t="s">
        <v>60</v>
      </c>
      <c r="F280" t="s">
        <v>29</v>
      </c>
      <c r="G280" t="s">
        <v>102</v>
      </c>
      <c r="H280" t="s">
        <v>37</v>
      </c>
      <c r="I280" t="s">
        <v>38</v>
      </c>
      <c r="J280">
        <v>8</v>
      </c>
      <c r="K280">
        <v>57269</v>
      </c>
      <c r="L280">
        <v>0</v>
      </c>
      <c r="M280">
        <v>458152</v>
      </c>
      <c r="N280">
        <v>354204.51</v>
      </c>
      <c r="O280">
        <v>103947.49</v>
      </c>
      <c r="P280" t="s">
        <v>78</v>
      </c>
      <c r="Q280">
        <v>4</v>
      </c>
      <c r="R280" t="b">
        <f>ISBLANK(Table1[[#This Row],[Region]])</f>
        <v>0</v>
      </c>
    </row>
    <row r="281" spans="1:18" x14ac:dyDescent="0.3">
      <c r="A281" t="s">
        <v>519</v>
      </c>
      <c r="B281" s="1">
        <v>46012</v>
      </c>
      <c r="C281" t="s">
        <v>47</v>
      </c>
      <c r="D281" t="s">
        <v>184</v>
      </c>
      <c r="E281" t="s">
        <v>60</v>
      </c>
      <c r="F281" t="s">
        <v>29</v>
      </c>
      <c r="G281" t="s">
        <v>102</v>
      </c>
      <c r="H281" t="s">
        <v>55</v>
      </c>
      <c r="I281" t="s">
        <v>121</v>
      </c>
      <c r="J281">
        <v>5</v>
      </c>
      <c r="K281">
        <v>12715</v>
      </c>
      <c r="L281">
        <v>0.15</v>
      </c>
      <c r="M281">
        <v>54038.75</v>
      </c>
      <c r="N281">
        <v>45161.3</v>
      </c>
      <c r="O281">
        <v>8877.4500000000007</v>
      </c>
      <c r="P281" t="s">
        <v>45</v>
      </c>
      <c r="Q281">
        <v>1</v>
      </c>
      <c r="R281" t="b">
        <f>ISBLANK(Table1[[#This Row],[Region]])</f>
        <v>0</v>
      </c>
    </row>
    <row r="282" spans="1:18" x14ac:dyDescent="0.3">
      <c r="A282" t="s">
        <v>520</v>
      </c>
      <c r="B282" s="1">
        <v>45673</v>
      </c>
      <c r="C282" t="s">
        <v>521</v>
      </c>
      <c r="D282" t="s">
        <v>443</v>
      </c>
      <c r="E282" t="s">
        <v>28</v>
      </c>
      <c r="F282" t="s">
        <v>20</v>
      </c>
      <c r="G282" t="s">
        <v>109</v>
      </c>
      <c r="H282" t="s">
        <v>43</v>
      </c>
      <c r="I282" t="s">
        <v>65</v>
      </c>
      <c r="J282">
        <v>5</v>
      </c>
      <c r="K282">
        <v>3565</v>
      </c>
      <c r="L282">
        <v>0.2</v>
      </c>
      <c r="M282">
        <v>14260</v>
      </c>
      <c r="N282">
        <v>9799.66</v>
      </c>
      <c r="O282">
        <v>4460.34</v>
      </c>
      <c r="P282" t="s">
        <v>45</v>
      </c>
      <c r="Q282">
        <v>1</v>
      </c>
      <c r="R282" t="b">
        <f>ISBLANK(Table1[[#This Row],[Region]])</f>
        <v>0</v>
      </c>
    </row>
    <row r="283" spans="1:18" x14ac:dyDescent="0.3">
      <c r="A283" t="s">
        <v>522</v>
      </c>
      <c r="B283" s="1">
        <v>45920</v>
      </c>
      <c r="C283" t="s">
        <v>416</v>
      </c>
      <c r="D283" t="s">
        <v>184</v>
      </c>
      <c r="E283" t="s">
        <v>28</v>
      </c>
      <c r="F283" t="s">
        <v>29</v>
      </c>
      <c r="G283" t="s">
        <v>109</v>
      </c>
      <c r="H283" t="s">
        <v>37</v>
      </c>
      <c r="I283" t="s">
        <v>68</v>
      </c>
      <c r="J283">
        <v>5</v>
      </c>
      <c r="K283">
        <v>3467</v>
      </c>
      <c r="L283">
        <v>0</v>
      </c>
      <c r="M283">
        <v>17335</v>
      </c>
      <c r="N283">
        <v>10315.68</v>
      </c>
      <c r="O283">
        <v>7019.32</v>
      </c>
      <c r="P283" t="s">
        <v>45</v>
      </c>
      <c r="Q283">
        <v>4</v>
      </c>
      <c r="R283" t="b">
        <f>ISBLANK(Table1[[#This Row],[Region]])</f>
        <v>0</v>
      </c>
    </row>
    <row r="284" spans="1:18" x14ac:dyDescent="0.3">
      <c r="A284" t="s">
        <v>523</v>
      </c>
      <c r="B284" s="1">
        <v>45892</v>
      </c>
      <c r="C284" t="s">
        <v>112</v>
      </c>
      <c r="D284" t="s">
        <v>162</v>
      </c>
      <c r="E284" t="s">
        <v>60</v>
      </c>
      <c r="F284" t="s">
        <v>20</v>
      </c>
      <c r="G284" t="s">
        <v>109</v>
      </c>
      <c r="H284" t="s">
        <v>22</v>
      </c>
      <c r="I284" t="s">
        <v>72</v>
      </c>
      <c r="J284">
        <v>6</v>
      </c>
      <c r="K284">
        <v>3228</v>
      </c>
      <c r="L284">
        <v>0.15</v>
      </c>
      <c r="M284">
        <v>16462.8</v>
      </c>
      <c r="N284">
        <v>9518.18</v>
      </c>
      <c r="O284">
        <v>6944.62</v>
      </c>
      <c r="P284" t="s">
        <v>32</v>
      </c>
      <c r="Q284">
        <v>2</v>
      </c>
      <c r="R284" t="b">
        <f>ISBLANK(Table1[[#This Row],[Region]])</f>
        <v>0</v>
      </c>
    </row>
    <row r="285" spans="1:18" x14ac:dyDescent="0.3">
      <c r="A285" t="s">
        <v>524</v>
      </c>
      <c r="B285" s="1">
        <v>45937</v>
      </c>
      <c r="C285" t="s">
        <v>329</v>
      </c>
      <c r="D285" t="s">
        <v>176</v>
      </c>
      <c r="E285" t="s">
        <v>60</v>
      </c>
      <c r="F285" t="s">
        <v>29</v>
      </c>
      <c r="G285" t="s">
        <v>109</v>
      </c>
      <c r="H285" t="s">
        <v>22</v>
      </c>
      <c r="I285" t="s">
        <v>31</v>
      </c>
      <c r="J285">
        <v>5</v>
      </c>
      <c r="K285">
        <v>10414</v>
      </c>
      <c r="L285">
        <v>0.2</v>
      </c>
      <c r="M285">
        <v>41656</v>
      </c>
      <c r="N285">
        <v>28122.01</v>
      </c>
      <c r="O285">
        <v>13533.99</v>
      </c>
      <c r="P285" t="s">
        <v>32</v>
      </c>
      <c r="Q285">
        <v>3</v>
      </c>
      <c r="R285" t="b">
        <f>ISBLANK(Table1[[#This Row],[Region]])</f>
        <v>0</v>
      </c>
    </row>
    <row r="286" spans="1:18" x14ac:dyDescent="0.3">
      <c r="A286" t="s">
        <v>525</v>
      </c>
      <c r="B286" s="1">
        <v>45686</v>
      </c>
      <c r="C286" t="s">
        <v>206</v>
      </c>
      <c r="D286" t="s">
        <v>126</v>
      </c>
      <c r="E286" t="s">
        <v>60</v>
      </c>
      <c r="F286" t="s">
        <v>29</v>
      </c>
      <c r="G286" t="s">
        <v>50</v>
      </c>
      <c r="H286" t="s">
        <v>43</v>
      </c>
      <c r="I286" t="s">
        <v>77</v>
      </c>
      <c r="J286">
        <v>6</v>
      </c>
      <c r="K286">
        <v>4435</v>
      </c>
      <c r="L286">
        <v>0.25</v>
      </c>
      <c r="M286">
        <v>19957.5</v>
      </c>
      <c r="N286">
        <v>12732.94</v>
      </c>
      <c r="O286">
        <v>7224.56</v>
      </c>
      <c r="P286" t="s">
        <v>32</v>
      </c>
      <c r="Q286">
        <v>1</v>
      </c>
      <c r="R286" t="b">
        <f>ISBLANK(Table1[[#This Row],[Region]])</f>
        <v>0</v>
      </c>
    </row>
    <row r="287" spans="1:18" x14ac:dyDescent="0.3">
      <c r="A287" t="s">
        <v>526</v>
      </c>
      <c r="B287" s="1">
        <v>45940</v>
      </c>
      <c r="C287" t="s">
        <v>313</v>
      </c>
      <c r="D287" t="s">
        <v>81</v>
      </c>
      <c r="E287" t="s">
        <v>28</v>
      </c>
      <c r="F287" t="s">
        <v>20</v>
      </c>
      <c r="G287" t="s">
        <v>109</v>
      </c>
      <c r="H287" t="s">
        <v>43</v>
      </c>
      <c r="I287" t="s">
        <v>44</v>
      </c>
      <c r="J287">
        <v>8</v>
      </c>
      <c r="K287">
        <v>6274</v>
      </c>
      <c r="L287">
        <v>0.15</v>
      </c>
      <c r="M287">
        <v>42663.199999999997</v>
      </c>
      <c r="N287">
        <v>37205.919999999998</v>
      </c>
      <c r="O287">
        <v>5457.28</v>
      </c>
      <c r="P287" t="s">
        <v>24</v>
      </c>
      <c r="Q287">
        <v>2</v>
      </c>
      <c r="R287" t="b">
        <f>ISBLANK(Table1[[#This Row],[Region]])</f>
        <v>0</v>
      </c>
    </row>
    <row r="288" spans="1:18" x14ac:dyDescent="0.3">
      <c r="A288" t="s">
        <v>527</v>
      </c>
      <c r="B288" s="1">
        <v>45664</v>
      </c>
      <c r="C288" t="s">
        <v>183</v>
      </c>
      <c r="D288" t="s">
        <v>165</v>
      </c>
      <c r="E288" t="s">
        <v>60</v>
      </c>
      <c r="F288" t="s">
        <v>29</v>
      </c>
      <c r="G288" t="s">
        <v>102</v>
      </c>
      <c r="H288" t="s">
        <v>55</v>
      </c>
      <c r="I288" t="s">
        <v>106</v>
      </c>
      <c r="J288">
        <v>8</v>
      </c>
      <c r="K288">
        <v>8636</v>
      </c>
      <c r="L288">
        <v>0</v>
      </c>
      <c r="M288">
        <v>69088</v>
      </c>
      <c r="N288">
        <v>55625.29</v>
      </c>
      <c r="O288">
        <v>13462.71</v>
      </c>
      <c r="P288" t="s">
        <v>24</v>
      </c>
      <c r="Q288">
        <v>4</v>
      </c>
      <c r="R288" t="b">
        <f>ISBLANK(Table1[[#This Row],[Region]])</f>
        <v>0</v>
      </c>
    </row>
    <row r="289" spans="1:18" x14ac:dyDescent="0.3">
      <c r="A289" t="s">
        <v>528</v>
      </c>
      <c r="B289" s="1">
        <v>45874</v>
      </c>
      <c r="C289" t="s">
        <v>245</v>
      </c>
      <c r="D289" t="s">
        <v>181</v>
      </c>
      <c r="E289" t="s">
        <v>60</v>
      </c>
      <c r="F289" t="s">
        <v>20</v>
      </c>
      <c r="G289" t="s">
        <v>50</v>
      </c>
      <c r="H289" t="s">
        <v>43</v>
      </c>
      <c r="I289" t="s">
        <v>44</v>
      </c>
      <c r="J289">
        <v>7</v>
      </c>
      <c r="K289">
        <v>5534</v>
      </c>
      <c r="L289">
        <v>0.1</v>
      </c>
      <c r="M289">
        <v>34864.199999999997</v>
      </c>
      <c r="N289">
        <v>28721.89</v>
      </c>
      <c r="O289">
        <v>6142.31</v>
      </c>
      <c r="P289" t="s">
        <v>45</v>
      </c>
      <c r="Q289">
        <v>3</v>
      </c>
      <c r="R289" t="b">
        <f>ISBLANK(Table1[[#This Row],[Region]])</f>
        <v>0</v>
      </c>
    </row>
    <row r="290" spans="1:18" x14ac:dyDescent="0.3">
      <c r="A290" t="s">
        <v>529</v>
      </c>
      <c r="B290" s="1">
        <v>45875</v>
      </c>
      <c r="C290" t="s">
        <v>345</v>
      </c>
      <c r="D290" t="s">
        <v>147</v>
      </c>
      <c r="E290" t="s">
        <v>60</v>
      </c>
      <c r="F290" t="s">
        <v>20</v>
      </c>
      <c r="G290" t="s">
        <v>36</v>
      </c>
      <c r="H290" t="s">
        <v>37</v>
      </c>
      <c r="I290" t="s">
        <v>38</v>
      </c>
      <c r="J290">
        <v>2</v>
      </c>
      <c r="K290">
        <v>45564</v>
      </c>
      <c r="L290">
        <v>0.2</v>
      </c>
      <c r="M290">
        <v>72902.399999999994</v>
      </c>
      <c r="N290">
        <v>58078.18</v>
      </c>
      <c r="O290">
        <v>14824.22</v>
      </c>
      <c r="P290" t="s">
        <v>24</v>
      </c>
      <c r="Q290">
        <v>4</v>
      </c>
      <c r="R290" t="b">
        <f>ISBLANK(Table1[[#This Row],[Region]])</f>
        <v>0</v>
      </c>
    </row>
    <row r="291" spans="1:18" x14ac:dyDescent="0.3">
      <c r="A291" t="s">
        <v>530</v>
      </c>
      <c r="B291" s="1">
        <v>45747</v>
      </c>
      <c r="C291" t="s">
        <v>258</v>
      </c>
      <c r="D291" t="s">
        <v>240</v>
      </c>
      <c r="E291" t="s">
        <v>49</v>
      </c>
      <c r="F291" t="s">
        <v>20</v>
      </c>
      <c r="G291" t="s">
        <v>30</v>
      </c>
      <c r="H291" t="s">
        <v>43</v>
      </c>
      <c r="I291" t="s">
        <v>77</v>
      </c>
      <c r="J291">
        <v>8</v>
      </c>
      <c r="K291">
        <v>975</v>
      </c>
      <c r="L291">
        <v>0</v>
      </c>
      <c r="M291">
        <v>7800</v>
      </c>
      <c r="N291">
        <v>4817.62</v>
      </c>
      <c r="O291">
        <v>2982.38</v>
      </c>
      <c r="P291" t="s">
        <v>78</v>
      </c>
      <c r="Q291">
        <v>5</v>
      </c>
      <c r="R291" t="b">
        <f>ISBLANK(Table1[[#This Row],[Region]])</f>
        <v>0</v>
      </c>
    </row>
    <row r="292" spans="1:18" x14ac:dyDescent="0.3">
      <c r="A292" t="s">
        <v>531</v>
      </c>
      <c r="B292" s="1">
        <v>45978</v>
      </c>
      <c r="C292" t="s">
        <v>390</v>
      </c>
      <c r="D292" t="s">
        <v>361</v>
      </c>
      <c r="E292" t="s">
        <v>19</v>
      </c>
      <c r="F292" t="s">
        <v>29</v>
      </c>
      <c r="G292" t="s">
        <v>21</v>
      </c>
      <c r="H292" t="s">
        <v>43</v>
      </c>
      <c r="I292" t="s">
        <v>65</v>
      </c>
      <c r="J292">
        <v>5</v>
      </c>
      <c r="K292">
        <v>4407</v>
      </c>
      <c r="L292">
        <v>0.15</v>
      </c>
      <c r="M292">
        <v>18729.75</v>
      </c>
      <c r="N292">
        <v>12700.54</v>
      </c>
      <c r="O292">
        <v>6029.21</v>
      </c>
      <c r="P292" t="s">
        <v>32</v>
      </c>
      <c r="Q292">
        <v>4</v>
      </c>
      <c r="R292" t="b">
        <f>ISBLANK(Table1[[#This Row],[Region]])</f>
        <v>0</v>
      </c>
    </row>
    <row r="293" spans="1:18" x14ac:dyDescent="0.3">
      <c r="A293" t="s">
        <v>532</v>
      </c>
      <c r="B293" s="1">
        <v>45662</v>
      </c>
      <c r="C293" t="s">
        <v>358</v>
      </c>
      <c r="D293" t="s">
        <v>150</v>
      </c>
      <c r="E293" t="s">
        <v>60</v>
      </c>
      <c r="F293" t="s">
        <v>20</v>
      </c>
      <c r="G293" t="s">
        <v>21</v>
      </c>
      <c r="H293" t="s">
        <v>43</v>
      </c>
      <c r="I293" t="s">
        <v>77</v>
      </c>
      <c r="J293">
        <v>1</v>
      </c>
      <c r="K293">
        <v>5644</v>
      </c>
      <c r="L293">
        <v>0.05</v>
      </c>
      <c r="M293">
        <v>5361.8</v>
      </c>
      <c r="N293">
        <v>3209.63</v>
      </c>
      <c r="O293">
        <v>2152.17</v>
      </c>
      <c r="P293" t="s">
        <v>32</v>
      </c>
      <c r="Q293">
        <v>1</v>
      </c>
      <c r="R293" t="b">
        <f>ISBLANK(Table1[[#This Row],[Region]])</f>
        <v>0</v>
      </c>
    </row>
    <row r="294" spans="1:18" x14ac:dyDescent="0.3">
      <c r="A294" t="s">
        <v>533</v>
      </c>
      <c r="B294" s="1">
        <v>45703</v>
      </c>
      <c r="C294" t="s">
        <v>167</v>
      </c>
      <c r="D294" t="s">
        <v>534</v>
      </c>
      <c r="E294" t="s">
        <v>49</v>
      </c>
      <c r="F294" t="s">
        <v>29</v>
      </c>
      <c r="G294" t="s">
        <v>109</v>
      </c>
      <c r="H294" t="s">
        <v>55</v>
      </c>
      <c r="I294" t="s">
        <v>106</v>
      </c>
      <c r="J294">
        <v>2</v>
      </c>
      <c r="K294">
        <v>6426</v>
      </c>
      <c r="L294">
        <v>0.2</v>
      </c>
      <c r="M294">
        <v>10281.6</v>
      </c>
      <c r="N294">
        <v>8875.01</v>
      </c>
      <c r="O294">
        <v>1406.59</v>
      </c>
      <c r="P294" t="s">
        <v>32</v>
      </c>
      <c r="Q294">
        <v>2</v>
      </c>
      <c r="R294" t="b">
        <f>ISBLANK(Table1[[#This Row],[Region]])</f>
        <v>0</v>
      </c>
    </row>
    <row r="295" spans="1:18" x14ac:dyDescent="0.3">
      <c r="A295" t="s">
        <v>535</v>
      </c>
      <c r="B295" s="1">
        <v>45750</v>
      </c>
      <c r="C295" t="s">
        <v>218</v>
      </c>
      <c r="D295" t="s">
        <v>367</v>
      </c>
      <c r="E295" t="s">
        <v>49</v>
      </c>
      <c r="F295" t="s">
        <v>20</v>
      </c>
      <c r="G295" t="s">
        <v>50</v>
      </c>
      <c r="H295" t="s">
        <v>55</v>
      </c>
      <c r="I295" t="s">
        <v>56</v>
      </c>
      <c r="J295">
        <v>5</v>
      </c>
      <c r="K295">
        <v>11736</v>
      </c>
      <c r="L295">
        <v>0.1</v>
      </c>
      <c r="M295">
        <v>52812</v>
      </c>
      <c r="N295">
        <v>31935.279999999999</v>
      </c>
      <c r="O295">
        <v>20876.72</v>
      </c>
      <c r="P295" t="s">
        <v>24</v>
      </c>
      <c r="Q295">
        <v>1</v>
      </c>
      <c r="R295" t="b">
        <f>ISBLANK(Table1[[#This Row],[Region]])</f>
        <v>0</v>
      </c>
    </row>
    <row r="296" spans="1:18" x14ac:dyDescent="0.3">
      <c r="A296" t="s">
        <v>536</v>
      </c>
      <c r="B296" s="1">
        <v>45826</v>
      </c>
      <c r="C296" t="s">
        <v>146</v>
      </c>
      <c r="D296" t="s">
        <v>395</v>
      </c>
      <c r="E296" t="s">
        <v>28</v>
      </c>
      <c r="F296" t="s">
        <v>29</v>
      </c>
      <c r="G296" t="s">
        <v>21</v>
      </c>
      <c r="H296" t="s">
        <v>43</v>
      </c>
      <c r="I296" t="s">
        <v>65</v>
      </c>
      <c r="J296">
        <v>2</v>
      </c>
      <c r="K296">
        <v>6889</v>
      </c>
      <c r="L296">
        <v>0.15</v>
      </c>
      <c r="M296">
        <v>11711.3</v>
      </c>
      <c r="N296">
        <v>8988.51</v>
      </c>
      <c r="O296">
        <v>2722.79</v>
      </c>
      <c r="P296" t="s">
        <v>45</v>
      </c>
      <c r="Q296">
        <v>3</v>
      </c>
      <c r="R296" t="b">
        <f>ISBLANK(Table1[[#This Row],[Region]])</f>
        <v>0</v>
      </c>
    </row>
    <row r="297" spans="1:18" x14ac:dyDescent="0.3">
      <c r="A297" t="s">
        <v>537</v>
      </c>
      <c r="B297" s="1">
        <v>45968</v>
      </c>
      <c r="C297" t="s">
        <v>432</v>
      </c>
      <c r="D297" t="s">
        <v>369</v>
      </c>
      <c r="E297" t="s">
        <v>49</v>
      </c>
      <c r="F297" t="s">
        <v>29</v>
      </c>
      <c r="G297" t="s">
        <v>50</v>
      </c>
      <c r="H297" t="s">
        <v>55</v>
      </c>
      <c r="I297" t="s">
        <v>121</v>
      </c>
      <c r="J297">
        <v>4</v>
      </c>
      <c r="K297">
        <v>6859</v>
      </c>
      <c r="L297">
        <v>0</v>
      </c>
      <c r="M297">
        <v>27436</v>
      </c>
      <c r="N297">
        <v>23413.82</v>
      </c>
      <c r="O297">
        <v>4022.18</v>
      </c>
      <c r="P297" t="s">
        <v>78</v>
      </c>
      <c r="Q297">
        <v>5</v>
      </c>
      <c r="R297" t="b">
        <f>ISBLANK(Table1[[#This Row],[Region]])</f>
        <v>0</v>
      </c>
    </row>
    <row r="298" spans="1:18" x14ac:dyDescent="0.3">
      <c r="A298" t="s">
        <v>538</v>
      </c>
      <c r="B298" s="1">
        <v>45904</v>
      </c>
      <c r="C298" t="s">
        <v>218</v>
      </c>
      <c r="D298" t="s">
        <v>162</v>
      </c>
      <c r="E298" t="s">
        <v>19</v>
      </c>
      <c r="F298" t="s">
        <v>29</v>
      </c>
      <c r="G298" t="s">
        <v>109</v>
      </c>
      <c r="H298" t="s">
        <v>37</v>
      </c>
      <c r="I298" t="s">
        <v>51</v>
      </c>
      <c r="J298">
        <v>1</v>
      </c>
      <c r="K298">
        <v>72042</v>
      </c>
      <c r="L298">
        <v>0.2</v>
      </c>
      <c r="M298">
        <v>57633.599999999999</v>
      </c>
      <c r="N298">
        <v>49821.71</v>
      </c>
      <c r="O298">
        <v>7811.89</v>
      </c>
      <c r="P298" t="s">
        <v>45</v>
      </c>
      <c r="Q298">
        <v>4</v>
      </c>
      <c r="R298" t="b">
        <f>ISBLANK(Table1[[#This Row],[Region]])</f>
        <v>0</v>
      </c>
    </row>
    <row r="299" spans="1:18" x14ac:dyDescent="0.3">
      <c r="A299" t="s">
        <v>539</v>
      </c>
      <c r="B299" s="1">
        <v>45899</v>
      </c>
      <c r="C299" t="s">
        <v>212</v>
      </c>
      <c r="D299" t="s">
        <v>209</v>
      </c>
      <c r="E299" t="s">
        <v>19</v>
      </c>
      <c r="F299" t="s">
        <v>29</v>
      </c>
      <c r="G299" t="s">
        <v>42</v>
      </c>
      <c r="H299" t="s">
        <v>55</v>
      </c>
      <c r="I299" t="s">
        <v>121</v>
      </c>
      <c r="J299">
        <v>3</v>
      </c>
      <c r="K299">
        <v>16832</v>
      </c>
      <c r="L299">
        <v>0.1</v>
      </c>
      <c r="M299">
        <v>45446.400000000001</v>
      </c>
      <c r="N299">
        <v>39395.46</v>
      </c>
      <c r="O299">
        <v>6050.94</v>
      </c>
      <c r="P299" t="s">
        <v>24</v>
      </c>
      <c r="Q299">
        <v>2</v>
      </c>
      <c r="R299" t="b">
        <f>ISBLANK(Table1[[#This Row],[Region]])</f>
        <v>0</v>
      </c>
    </row>
    <row r="300" spans="1:18" x14ac:dyDescent="0.3">
      <c r="A300" t="s">
        <v>540</v>
      </c>
      <c r="B300" s="1">
        <v>45827</v>
      </c>
      <c r="C300" t="s">
        <v>80</v>
      </c>
      <c r="D300" t="s">
        <v>454</v>
      </c>
      <c r="E300" t="s">
        <v>28</v>
      </c>
      <c r="F300" t="s">
        <v>29</v>
      </c>
      <c r="G300" t="s">
        <v>102</v>
      </c>
      <c r="H300" t="s">
        <v>37</v>
      </c>
      <c r="I300" t="s">
        <v>110</v>
      </c>
      <c r="J300">
        <v>8</v>
      </c>
      <c r="K300">
        <v>41758</v>
      </c>
      <c r="L300">
        <v>0.1</v>
      </c>
      <c r="M300">
        <v>300657.59999999998</v>
      </c>
      <c r="N300">
        <v>169931.29</v>
      </c>
      <c r="O300">
        <v>130726.31</v>
      </c>
      <c r="P300" t="s">
        <v>32</v>
      </c>
      <c r="Q300">
        <v>5</v>
      </c>
      <c r="R300" t="b">
        <f>ISBLANK(Table1[[#This Row],[Region]])</f>
        <v>0</v>
      </c>
    </row>
    <row r="301" spans="1:18" x14ac:dyDescent="0.3">
      <c r="A301" t="s">
        <v>541</v>
      </c>
      <c r="B301" s="1">
        <v>45922</v>
      </c>
      <c r="C301" t="s">
        <v>256</v>
      </c>
      <c r="D301" t="s">
        <v>311</v>
      </c>
      <c r="E301" t="s">
        <v>19</v>
      </c>
      <c r="F301" t="s">
        <v>20</v>
      </c>
      <c r="G301" t="s">
        <v>42</v>
      </c>
      <c r="H301" t="s">
        <v>37</v>
      </c>
      <c r="I301" t="s">
        <v>38</v>
      </c>
      <c r="J301">
        <v>3</v>
      </c>
      <c r="K301">
        <v>67182</v>
      </c>
      <c r="L301">
        <v>0.2</v>
      </c>
      <c r="M301">
        <v>161236.79999999999</v>
      </c>
      <c r="N301">
        <v>94985.54</v>
      </c>
      <c r="O301">
        <v>66251.259999999995</v>
      </c>
      <c r="P301" t="s">
        <v>45</v>
      </c>
      <c r="Q301">
        <v>1</v>
      </c>
      <c r="R301" t="b">
        <f>ISBLANK(Table1[[#This Row],[Region]])</f>
        <v>0</v>
      </c>
    </row>
    <row r="302" spans="1:18" x14ac:dyDescent="0.3">
      <c r="A302" t="s">
        <v>542</v>
      </c>
      <c r="B302" s="1">
        <v>45756</v>
      </c>
      <c r="C302" t="s">
        <v>152</v>
      </c>
      <c r="D302" t="s">
        <v>147</v>
      </c>
      <c r="E302" t="s">
        <v>60</v>
      </c>
      <c r="F302" t="s">
        <v>20</v>
      </c>
      <c r="G302" t="s">
        <v>30</v>
      </c>
      <c r="H302" t="s">
        <v>43</v>
      </c>
      <c r="I302" t="s">
        <v>65</v>
      </c>
      <c r="J302">
        <v>3</v>
      </c>
      <c r="K302">
        <v>3383</v>
      </c>
      <c r="L302">
        <v>0.2</v>
      </c>
      <c r="M302">
        <v>8119.2</v>
      </c>
      <c r="N302">
        <v>4552.95</v>
      </c>
      <c r="O302">
        <v>3566.25</v>
      </c>
      <c r="P302" t="s">
        <v>24</v>
      </c>
      <c r="Q302">
        <v>4</v>
      </c>
      <c r="R302" t="b">
        <f>ISBLANK(Table1[[#This Row],[Region]])</f>
        <v>0</v>
      </c>
    </row>
    <row r="303" spans="1:18" x14ac:dyDescent="0.3">
      <c r="A303" t="s">
        <v>543</v>
      </c>
      <c r="B303" s="1">
        <v>45715</v>
      </c>
      <c r="C303" t="s">
        <v>58</v>
      </c>
      <c r="D303" t="s">
        <v>479</v>
      </c>
      <c r="E303" t="s">
        <v>60</v>
      </c>
      <c r="F303" t="s">
        <v>20</v>
      </c>
      <c r="G303" t="s">
        <v>30</v>
      </c>
      <c r="H303" t="s">
        <v>22</v>
      </c>
      <c r="I303" t="s">
        <v>23</v>
      </c>
      <c r="J303">
        <v>3</v>
      </c>
      <c r="K303">
        <v>6409</v>
      </c>
      <c r="L303">
        <v>0</v>
      </c>
      <c r="M303">
        <v>19227</v>
      </c>
      <c r="N303">
        <v>12100.16</v>
      </c>
      <c r="O303">
        <v>7126.84</v>
      </c>
      <c r="P303" t="s">
        <v>78</v>
      </c>
      <c r="Q303">
        <v>3</v>
      </c>
      <c r="R303" t="b">
        <f>ISBLANK(Table1[[#This Row],[Region]])</f>
        <v>0</v>
      </c>
    </row>
    <row r="304" spans="1:18" x14ac:dyDescent="0.3">
      <c r="A304" t="s">
        <v>544</v>
      </c>
      <c r="B304" s="1">
        <v>45894</v>
      </c>
      <c r="C304" t="s">
        <v>427</v>
      </c>
      <c r="D304" t="s">
        <v>209</v>
      </c>
      <c r="E304" t="s">
        <v>60</v>
      </c>
      <c r="F304" t="s">
        <v>20</v>
      </c>
      <c r="G304" t="s">
        <v>21</v>
      </c>
      <c r="H304" t="s">
        <v>37</v>
      </c>
      <c r="I304" t="s">
        <v>38</v>
      </c>
      <c r="J304">
        <v>2</v>
      </c>
      <c r="K304">
        <v>71759</v>
      </c>
      <c r="L304">
        <v>0.25</v>
      </c>
      <c r="M304">
        <v>107638.5</v>
      </c>
      <c r="N304">
        <v>89989.47</v>
      </c>
      <c r="O304">
        <v>17649.03</v>
      </c>
      <c r="P304" t="s">
        <v>78</v>
      </c>
      <c r="Q304">
        <v>3</v>
      </c>
      <c r="R304" t="b">
        <f>ISBLANK(Table1[[#This Row],[Region]])</f>
        <v>0</v>
      </c>
    </row>
    <row r="305" spans="1:18" x14ac:dyDescent="0.3">
      <c r="A305" t="s">
        <v>545</v>
      </c>
      <c r="B305" s="1">
        <v>45960</v>
      </c>
      <c r="C305" t="s">
        <v>258</v>
      </c>
      <c r="D305" t="s">
        <v>369</v>
      </c>
      <c r="E305" t="s">
        <v>60</v>
      </c>
      <c r="F305" t="s">
        <v>20</v>
      </c>
      <c r="G305" t="s">
        <v>76</v>
      </c>
      <c r="H305" t="s">
        <v>43</v>
      </c>
      <c r="I305" t="s">
        <v>44</v>
      </c>
      <c r="J305">
        <v>2</v>
      </c>
      <c r="K305">
        <v>6781</v>
      </c>
      <c r="L305">
        <v>0.2</v>
      </c>
      <c r="M305">
        <v>10849.6</v>
      </c>
      <c r="N305">
        <v>7231.33</v>
      </c>
      <c r="O305">
        <v>3618.27</v>
      </c>
      <c r="P305" t="s">
        <v>32</v>
      </c>
      <c r="Q305">
        <v>4</v>
      </c>
      <c r="R305" t="b">
        <f>ISBLANK(Table1[[#This Row],[Region]])</f>
        <v>0</v>
      </c>
    </row>
    <row r="306" spans="1:18" x14ac:dyDescent="0.3">
      <c r="A306" t="s">
        <v>546</v>
      </c>
      <c r="B306" s="1">
        <v>45698</v>
      </c>
      <c r="C306" t="s">
        <v>139</v>
      </c>
      <c r="D306" t="s">
        <v>173</v>
      </c>
      <c r="E306" t="s">
        <v>19</v>
      </c>
      <c r="F306" t="s">
        <v>29</v>
      </c>
      <c r="G306" t="s">
        <v>42</v>
      </c>
      <c r="H306" t="s">
        <v>55</v>
      </c>
      <c r="I306" t="s">
        <v>61</v>
      </c>
      <c r="J306">
        <v>7</v>
      </c>
      <c r="K306">
        <v>13840</v>
      </c>
      <c r="L306">
        <v>0.2</v>
      </c>
      <c r="M306">
        <v>77504</v>
      </c>
      <c r="N306">
        <v>57746.14</v>
      </c>
      <c r="O306">
        <v>19757.86</v>
      </c>
      <c r="P306" t="s">
        <v>78</v>
      </c>
      <c r="Q306">
        <v>4</v>
      </c>
      <c r="R306" t="b">
        <f>ISBLANK(Table1[[#This Row],[Region]])</f>
        <v>0</v>
      </c>
    </row>
    <row r="307" spans="1:18" x14ac:dyDescent="0.3">
      <c r="A307" t="s">
        <v>547</v>
      </c>
      <c r="B307" s="1">
        <v>45846</v>
      </c>
      <c r="C307" t="s">
        <v>416</v>
      </c>
      <c r="D307" t="s">
        <v>282</v>
      </c>
      <c r="E307" t="s">
        <v>49</v>
      </c>
      <c r="F307" t="s">
        <v>29</v>
      </c>
      <c r="G307" t="s">
        <v>21</v>
      </c>
      <c r="H307" t="s">
        <v>43</v>
      </c>
      <c r="I307" t="s">
        <v>77</v>
      </c>
      <c r="J307">
        <v>5</v>
      </c>
      <c r="K307">
        <v>3896</v>
      </c>
      <c r="L307">
        <v>0.1</v>
      </c>
      <c r="M307">
        <v>17532</v>
      </c>
      <c r="N307">
        <v>14478.32</v>
      </c>
      <c r="O307">
        <v>3053.68</v>
      </c>
      <c r="P307" t="s">
        <v>32</v>
      </c>
      <c r="Q307">
        <v>4</v>
      </c>
      <c r="R307" t="b">
        <f>ISBLANK(Table1[[#This Row],[Region]])</f>
        <v>0</v>
      </c>
    </row>
    <row r="308" spans="1:18" x14ac:dyDescent="0.3">
      <c r="A308" t="s">
        <v>548</v>
      </c>
      <c r="B308" s="1">
        <v>45726</v>
      </c>
      <c r="C308" t="s">
        <v>291</v>
      </c>
      <c r="D308" t="s">
        <v>278</v>
      </c>
      <c r="E308" t="s">
        <v>19</v>
      </c>
      <c r="F308" t="s">
        <v>20</v>
      </c>
      <c r="G308" t="s">
        <v>42</v>
      </c>
      <c r="H308" t="s">
        <v>55</v>
      </c>
      <c r="I308" t="s">
        <v>121</v>
      </c>
      <c r="J308">
        <v>1</v>
      </c>
      <c r="K308">
        <v>13708</v>
      </c>
      <c r="L308">
        <v>0.15</v>
      </c>
      <c r="M308">
        <v>11651.8</v>
      </c>
      <c r="N308">
        <v>8043.53</v>
      </c>
      <c r="O308">
        <v>3608.27</v>
      </c>
      <c r="P308" t="s">
        <v>24</v>
      </c>
      <c r="Q308">
        <v>1</v>
      </c>
      <c r="R308" t="b">
        <f>ISBLANK(Table1[[#This Row],[Region]])</f>
        <v>0</v>
      </c>
    </row>
    <row r="309" spans="1:18" x14ac:dyDescent="0.3">
      <c r="A309" t="s">
        <v>549</v>
      </c>
      <c r="B309" s="1">
        <v>45869</v>
      </c>
      <c r="C309" t="s">
        <v>97</v>
      </c>
      <c r="D309" t="s">
        <v>87</v>
      </c>
      <c r="E309" t="s">
        <v>28</v>
      </c>
      <c r="F309" t="s">
        <v>20</v>
      </c>
      <c r="G309" t="s">
        <v>50</v>
      </c>
      <c r="H309" t="s">
        <v>55</v>
      </c>
      <c r="I309" t="s">
        <v>56</v>
      </c>
      <c r="J309">
        <v>5</v>
      </c>
      <c r="K309">
        <v>18217</v>
      </c>
      <c r="L309">
        <v>0.25</v>
      </c>
      <c r="M309">
        <v>68313.75</v>
      </c>
      <c r="N309">
        <v>37800.04</v>
      </c>
      <c r="O309">
        <v>30513.71</v>
      </c>
      <c r="P309" t="s">
        <v>45</v>
      </c>
      <c r="Q309">
        <v>4</v>
      </c>
      <c r="R309" t="b">
        <f>ISBLANK(Table1[[#This Row],[Region]])</f>
        <v>0</v>
      </c>
    </row>
    <row r="310" spans="1:18" x14ac:dyDescent="0.3">
      <c r="A310" t="s">
        <v>550</v>
      </c>
      <c r="B310" s="1">
        <v>45971</v>
      </c>
      <c r="C310" t="s">
        <v>398</v>
      </c>
      <c r="D310" t="s">
        <v>314</v>
      </c>
      <c r="E310" t="s">
        <v>49</v>
      </c>
      <c r="F310" t="s">
        <v>20</v>
      </c>
      <c r="G310" t="s">
        <v>42</v>
      </c>
      <c r="H310" t="s">
        <v>43</v>
      </c>
      <c r="I310" t="s">
        <v>77</v>
      </c>
      <c r="J310">
        <v>4</v>
      </c>
      <c r="K310">
        <v>6038</v>
      </c>
      <c r="L310">
        <v>0.2</v>
      </c>
      <c r="M310">
        <v>19321.599999999999</v>
      </c>
      <c r="N310">
        <v>15466.8</v>
      </c>
      <c r="O310">
        <v>3854.8</v>
      </c>
      <c r="P310" t="s">
        <v>45</v>
      </c>
      <c r="Q310">
        <v>3</v>
      </c>
      <c r="R310" t="b">
        <f>ISBLANK(Table1[[#This Row],[Region]])</f>
        <v>0</v>
      </c>
    </row>
    <row r="311" spans="1:18" x14ac:dyDescent="0.3">
      <c r="A311" t="s">
        <v>551</v>
      </c>
      <c r="B311" s="1">
        <v>45673</v>
      </c>
      <c r="C311" t="s">
        <v>319</v>
      </c>
      <c r="D311" t="s">
        <v>267</v>
      </c>
      <c r="E311" t="s">
        <v>19</v>
      </c>
      <c r="F311" t="s">
        <v>20</v>
      </c>
      <c r="G311" t="s">
        <v>21</v>
      </c>
      <c r="H311" t="s">
        <v>55</v>
      </c>
      <c r="I311" t="s">
        <v>121</v>
      </c>
      <c r="J311">
        <v>6</v>
      </c>
      <c r="K311">
        <v>8756</v>
      </c>
      <c r="L311">
        <v>0.25</v>
      </c>
      <c r="M311">
        <v>39402</v>
      </c>
      <c r="N311">
        <v>26946.94</v>
      </c>
      <c r="O311">
        <v>12455.06</v>
      </c>
      <c r="P311" t="s">
        <v>24</v>
      </c>
      <c r="Q311">
        <v>3</v>
      </c>
      <c r="R311" t="b">
        <f>ISBLANK(Table1[[#This Row],[Region]])</f>
        <v>0</v>
      </c>
    </row>
    <row r="312" spans="1:18" x14ac:dyDescent="0.3">
      <c r="A312" t="s">
        <v>552</v>
      </c>
      <c r="B312" s="1">
        <v>45666</v>
      </c>
      <c r="C312" t="s">
        <v>553</v>
      </c>
      <c r="D312" t="s">
        <v>333</v>
      </c>
      <c r="E312" t="s">
        <v>19</v>
      </c>
      <c r="F312" t="s">
        <v>29</v>
      </c>
      <c r="G312" t="s">
        <v>109</v>
      </c>
      <c r="H312" t="s">
        <v>43</v>
      </c>
      <c r="I312" t="s">
        <v>158</v>
      </c>
      <c r="J312">
        <v>2</v>
      </c>
      <c r="K312">
        <v>557</v>
      </c>
      <c r="L312">
        <v>0.05</v>
      </c>
      <c r="M312">
        <v>1058.3</v>
      </c>
      <c r="N312">
        <v>854.69</v>
      </c>
      <c r="O312">
        <v>203.61</v>
      </c>
      <c r="P312" t="s">
        <v>24</v>
      </c>
      <c r="Q312">
        <v>1</v>
      </c>
      <c r="R312" t="b">
        <f>ISBLANK(Table1[[#This Row],[Region]])</f>
        <v>0</v>
      </c>
    </row>
    <row r="313" spans="1:18" x14ac:dyDescent="0.3">
      <c r="A313" t="s">
        <v>554</v>
      </c>
      <c r="B313" s="1">
        <v>45898</v>
      </c>
      <c r="C313" t="s">
        <v>175</v>
      </c>
      <c r="D313" t="s">
        <v>64</v>
      </c>
      <c r="E313" t="s">
        <v>28</v>
      </c>
      <c r="F313" t="s">
        <v>20</v>
      </c>
      <c r="G313" t="s">
        <v>50</v>
      </c>
      <c r="H313" t="s">
        <v>22</v>
      </c>
      <c r="I313" t="s">
        <v>72</v>
      </c>
      <c r="J313">
        <v>7</v>
      </c>
      <c r="K313">
        <v>10802</v>
      </c>
      <c r="L313">
        <v>0.2</v>
      </c>
      <c r="M313">
        <v>60491.199999999997</v>
      </c>
      <c r="N313">
        <v>44450.76</v>
      </c>
      <c r="O313">
        <v>16040.44</v>
      </c>
      <c r="P313" t="s">
        <v>24</v>
      </c>
      <c r="Q313">
        <v>1</v>
      </c>
      <c r="R313" t="b">
        <f>ISBLANK(Table1[[#This Row],[Region]])</f>
        <v>0</v>
      </c>
    </row>
    <row r="314" spans="1:18" x14ac:dyDescent="0.3">
      <c r="A314" t="s">
        <v>555</v>
      </c>
      <c r="B314" s="1">
        <v>45824</v>
      </c>
      <c r="C314" t="s">
        <v>183</v>
      </c>
      <c r="D314" t="s">
        <v>204</v>
      </c>
      <c r="E314" t="s">
        <v>19</v>
      </c>
      <c r="F314" t="s">
        <v>20</v>
      </c>
      <c r="G314" t="s">
        <v>42</v>
      </c>
      <c r="H314" t="s">
        <v>22</v>
      </c>
      <c r="I314" t="s">
        <v>95</v>
      </c>
      <c r="J314">
        <v>8</v>
      </c>
      <c r="K314">
        <v>2949</v>
      </c>
      <c r="L314">
        <v>0.1</v>
      </c>
      <c r="M314">
        <v>21232.799999999999</v>
      </c>
      <c r="N314">
        <v>17308.150000000001</v>
      </c>
      <c r="O314">
        <v>3924.65</v>
      </c>
      <c r="P314" t="s">
        <v>24</v>
      </c>
      <c r="Q314">
        <v>1</v>
      </c>
      <c r="R314" t="b">
        <f>ISBLANK(Table1[[#This Row],[Region]])</f>
        <v>0</v>
      </c>
    </row>
    <row r="315" spans="1:18" x14ac:dyDescent="0.3">
      <c r="A315" t="s">
        <v>556</v>
      </c>
      <c r="B315" s="1">
        <v>45706</v>
      </c>
      <c r="C315" t="s">
        <v>353</v>
      </c>
      <c r="D315" t="s">
        <v>361</v>
      </c>
      <c r="E315" t="s">
        <v>60</v>
      </c>
      <c r="F315" t="s">
        <v>20</v>
      </c>
      <c r="G315" t="s">
        <v>21</v>
      </c>
      <c r="H315" t="s">
        <v>55</v>
      </c>
      <c r="I315" t="s">
        <v>56</v>
      </c>
      <c r="J315">
        <v>4</v>
      </c>
      <c r="K315">
        <v>24474</v>
      </c>
      <c r="L315">
        <v>0.1</v>
      </c>
      <c r="M315">
        <v>88106.4</v>
      </c>
      <c r="N315">
        <v>51914.81</v>
      </c>
      <c r="O315">
        <v>36191.589999999997</v>
      </c>
      <c r="P315" t="s">
        <v>24</v>
      </c>
      <c r="Q315">
        <v>1</v>
      </c>
      <c r="R315" t="b">
        <f>ISBLANK(Table1[[#This Row],[Region]])</f>
        <v>0</v>
      </c>
    </row>
    <row r="316" spans="1:18" x14ac:dyDescent="0.3">
      <c r="A316" t="s">
        <v>557</v>
      </c>
      <c r="B316" s="1">
        <v>45996</v>
      </c>
      <c r="C316" t="s">
        <v>206</v>
      </c>
      <c r="D316" t="s">
        <v>48</v>
      </c>
      <c r="E316" t="s">
        <v>19</v>
      </c>
      <c r="F316" t="s">
        <v>29</v>
      </c>
      <c r="G316" t="s">
        <v>30</v>
      </c>
      <c r="H316" t="s">
        <v>55</v>
      </c>
      <c r="I316" t="s">
        <v>106</v>
      </c>
      <c r="J316">
        <v>4</v>
      </c>
      <c r="K316">
        <v>19762</v>
      </c>
      <c r="L316">
        <v>0.15</v>
      </c>
      <c r="M316">
        <v>67190.8</v>
      </c>
      <c r="N316">
        <v>45477.23</v>
      </c>
      <c r="O316">
        <v>21713.57</v>
      </c>
      <c r="P316" t="s">
        <v>24</v>
      </c>
      <c r="Q316">
        <v>2</v>
      </c>
      <c r="R316" t="b">
        <f>ISBLANK(Table1[[#This Row],[Region]])</f>
        <v>0</v>
      </c>
    </row>
    <row r="317" spans="1:18" x14ac:dyDescent="0.3">
      <c r="A317" t="s">
        <v>558</v>
      </c>
      <c r="B317" s="1">
        <v>45825</v>
      </c>
      <c r="C317" t="s">
        <v>17</v>
      </c>
      <c r="D317" t="s">
        <v>559</v>
      </c>
      <c r="E317" t="s">
        <v>60</v>
      </c>
      <c r="F317" t="s">
        <v>20</v>
      </c>
      <c r="G317" t="s">
        <v>21</v>
      </c>
      <c r="H317" t="s">
        <v>43</v>
      </c>
      <c r="I317" t="s">
        <v>44</v>
      </c>
      <c r="J317">
        <v>8</v>
      </c>
      <c r="K317">
        <v>5757</v>
      </c>
      <c r="L317">
        <v>0.1</v>
      </c>
      <c r="M317">
        <v>41450.400000000001</v>
      </c>
      <c r="N317">
        <v>32457.48</v>
      </c>
      <c r="O317">
        <v>8992.92</v>
      </c>
      <c r="P317" t="s">
        <v>32</v>
      </c>
      <c r="Q317">
        <v>5</v>
      </c>
      <c r="R317" t="b">
        <f>ISBLANK(Table1[[#This Row],[Region]])</f>
        <v>0</v>
      </c>
    </row>
    <row r="318" spans="1:18" x14ac:dyDescent="0.3">
      <c r="A318" t="s">
        <v>560</v>
      </c>
      <c r="B318" s="1">
        <v>45746</v>
      </c>
      <c r="C318" t="s">
        <v>227</v>
      </c>
      <c r="D318" t="s">
        <v>243</v>
      </c>
      <c r="E318" t="s">
        <v>28</v>
      </c>
      <c r="F318" t="s">
        <v>29</v>
      </c>
      <c r="G318" t="s">
        <v>36</v>
      </c>
      <c r="H318" t="s">
        <v>22</v>
      </c>
      <c r="I318" t="s">
        <v>95</v>
      </c>
      <c r="J318">
        <v>3</v>
      </c>
      <c r="K318">
        <v>14301</v>
      </c>
      <c r="L318">
        <v>0.1</v>
      </c>
      <c r="M318">
        <v>38612.699999999997</v>
      </c>
      <c r="N318">
        <v>32441.72</v>
      </c>
      <c r="O318">
        <v>6170.98</v>
      </c>
      <c r="P318" t="s">
        <v>32</v>
      </c>
      <c r="Q318">
        <v>3</v>
      </c>
      <c r="R318" t="b">
        <f>ISBLANK(Table1[[#This Row],[Region]])</f>
        <v>0</v>
      </c>
    </row>
    <row r="319" spans="1:18" x14ac:dyDescent="0.3">
      <c r="A319" t="s">
        <v>561</v>
      </c>
      <c r="B319" s="1">
        <v>45740</v>
      </c>
      <c r="C319" t="s">
        <v>203</v>
      </c>
      <c r="D319" t="s">
        <v>101</v>
      </c>
      <c r="E319" t="s">
        <v>60</v>
      </c>
      <c r="F319" t="s">
        <v>29</v>
      </c>
      <c r="G319" t="s">
        <v>21</v>
      </c>
      <c r="H319" t="s">
        <v>37</v>
      </c>
      <c r="I319" t="s">
        <v>110</v>
      </c>
      <c r="J319">
        <v>7</v>
      </c>
      <c r="K319">
        <v>24014</v>
      </c>
      <c r="L319">
        <v>0.1</v>
      </c>
      <c r="M319">
        <v>151288.20000000001</v>
      </c>
      <c r="N319">
        <v>125678.81</v>
      </c>
      <c r="O319">
        <v>25609.39</v>
      </c>
      <c r="P319" t="s">
        <v>45</v>
      </c>
      <c r="Q319">
        <v>1</v>
      </c>
      <c r="R319" t="b">
        <f>ISBLANK(Table1[[#This Row],[Region]])</f>
        <v>0</v>
      </c>
    </row>
    <row r="320" spans="1:18" x14ac:dyDescent="0.3">
      <c r="A320" t="s">
        <v>562</v>
      </c>
      <c r="B320" s="1">
        <v>45754</v>
      </c>
      <c r="C320" t="s">
        <v>198</v>
      </c>
      <c r="D320" t="s">
        <v>240</v>
      </c>
      <c r="E320" t="s">
        <v>60</v>
      </c>
      <c r="F320" t="s">
        <v>29</v>
      </c>
      <c r="G320" t="s">
        <v>76</v>
      </c>
      <c r="H320" t="s">
        <v>22</v>
      </c>
      <c r="I320" t="s">
        <v>95</v>
      </c>
      <c r="J320">
        <v>5</v>
      </c>
      <c r="K320">
        <v>4810</v>
      </c>
      <c r="L320">
        <v>0.1</v>
      </c>
      <c r="M320">
        <v>21645</v>
      </c>
      <c r="N320">
        <v>14845.14</v>
      </c>
      <c r="O320">
        <v>6799.86</v>
      </c>
      <c r="P320" t="s">
        <v>32</v>
      </c>
      <c r="Q320">
        <v>3</v>
      </c>
      <c r="R320" t="b">
        <f>ISBLANK(Table1[[#This Row],[Region]])</f>
        <v>0</v>
      </c>
    </row>
    <row r="321" spans="1:18" x14ac:dyDescent="0.3">
      <c r="A321" t="s">
        <v>563</v>
      </c>
      <c r="B321" s="1">
        <v>45704</v>
      </c>
      <c r="C321" t="s">
        <v>100</v>
      </c>
      <c r="D321" t="s">
        <v>395</v>
      </c>
      <c r="E321" t="s">
        <v>60</v>
      </c>
      <c r="F321" t="s">
        <v>20</v>
      </c>
      <c r="G321" t="s">
        <v>50</v>
      </c>
      <c r="H321" t="s">
        <v>55</v>
      </c>
      <c r="I321" t="s">
        <v>56</v>
      </c>
      <c r="J321">
        <v>8</v>
      </c>
      <c r="K321">
        <v>8670</v>
      </c>
      <c r="L321">
        <v>0.25</v>
      </c>
      <c r="M321">
        <v>52020</v>
      </c>
      <c r="N321">
        <v>34318.14</v>
      </c>
      <c r="O321">
        <v>17701.86</v>
      </c>
      <c r="P321" t="s">
        <v>32</v>
      </c>
      <c r="Q321">
        <v>3</v>
      </c>
      <c r="R321" t="b">
        <f>ISBLANK(Table1[[#This Row],[Region]])</f>
        <v>0</v>
      </c>
    </row>
    <row r="322" spans="1:18" x14ac:dyDescent="0.3">
      <c r="A322" t="s">
        <v>564</v>
      </c>
      <c r="B322" s="1">
        <v>46018</v>
      </c>
      <c r="C322" t="s">
        <v>183</v>
      </c>
      <c r="D322" t="s">
        <v>565</v>
      </c>
      <c r="E322" t="s">
        <v>28</v>
      </c>
      <c r="F322" t="s">
        <v>29</v>
      </c>
      <c r="G322" t="s">
        <v>76</v>
      </c>
      <c r="H322" t="s">
        <v>55</v>
      </c>
      <c r="I322" t="s">
        <v>121</v>
      </c>
      <c r="J322">
        <v>8</v>
      </c>
      <c r="K322">
        <v>24764</v>
      </c>
      <c r="L322">
        <v>0.05</v>
      </c>
      <c r="M322">
        <v>188206.4</v>
      </c>
      <c r="N322">
        <v>161974.17000000001</v>
      </c>
      <c r="O322">
        <v>26232.23</v>
      </c>
      <c r="P322" t="s">
        <v>32</v>
      </c>
      <c r="Q322">
        <v>1</v>
      </c>
      <c r="R322" t="b">
        <f>ISBLANK(Table1[[#This Row],[Region]])</f>
        <v>0</v>
      </c>
    </row>
    <row r="323" spans="1:18" x14ac:dyDescent="0.3">
      <c r="A323" t="s">
        <v>566</v>
      </c>
      <c r="B323" s="1">
        <v>45876</v>
      </c>
      <c r="C323" t="s">
        <v>390</v>
      </c>
      <c r="D323" t="s">
        <v>144</v>
      </c>
      <c r="E323" t="s">
        <v>49</v>
      </c>
      <c r="F323" t="s">
        <v>20</v>
      </c>
      <c r="G323" t="s">
        <v>102</v>
      </c>
      <c r="H323" t="s">
        <v>55</v>
      </c>
      <c r="I323" t="s">
        <v>56</v>
      </c>
      <c r="J323">
        <v>5</v>
      </c>
      <c r="K323">
        <v>24484</v>
      </c>
      <c r="L323">
        <v>0</v>
      </c>
      <c r="M323">
        <v>122420</v>
      </c>
      <c r="N323">
        <v>97140.52</v>
      </c>
      <c r="O323">
        <v>25279.48</v>
      </c>
      <c r="P323" t="s">
        <v>32</v>
      </c>
      <c r="Q323">
        <v>2</v>
      </c>
      <c r="R323" t="b">
        <f>ISBLANK(Table1[[#This Row],[Region]])</f>
        <v>0</v>
      </c>
    </row>
    <row r="324" spans="1:18" x14ac:dyDescent="0.3">
      <c r="A324" t="s">
        <v>567</v>
      </c>
      <c r="B324" s="1">
        <v>45811</v>
      </c>
      <c r="C324" t="s">
        <v>206</v>
      </c>
      <c r="D324" t="s">
        <v>454</v>
      </c>
      <c r="E324" t="s">
        <v>60</v>
      </c>
      <c r="F324" t="s">
        <v>20</v>
      </c>
      <c r="G324" t="s">
        <v>76</v>
      </c>
      <c r="H324" t="s">
        <v>43</v>
      </c>
      <c r="I324" t="s">
        <v>44</v>
      </c>
      <c r="J324">
        <v>2</v>
      </c>
      <c r="K324">
        <v>2585</v>
      </c>
      <c r="L324">
        <v>0.05</v>
      </c>
      <c r="M324">
        <v>4911.5</v>
      </c>
      <c r="N324">
        <v>3819.32</v>
      </c>
      <c r="O324">
        <v>1092.18</v>
      </c>
      <c r="P324" t="s">
        <v>78</v>
      </c>
      <c r="Q324">
        <v>4</v>
      </c>
      <c r="R324" t="b">
        <f>ISBLANK(Table1[[#This Row],[Region]])</f>
        <v>0</v>
      </c>
    </row>
    <row r="325" spans="1:18" x14ac:dyDescent="0.3">
      <c r="A325" t="s">
        <v>568</v>
      </c>
      <c r="B325" s="1">
        <v>45979</v>
      </c>
      <c r="C325" t="s">
        <v>116</v>
      </c>
      <c r="D325" t="s">
        <v>278</v>
      </c>
      <c r="E325" t="s">
        <v>19</v>
      </c>
      <c r="F325" t="s">
        <v>29</v>
      </c>
      <c r="G325" t="s">
        <v>102</v>
      </c>
      <c r="H325" t="s">
        <v>37</v>
      </c>
      <c r="I325" t="s">
        <v>51</v>
      </c>
      <c r="J325">
        <v>4</v>
      </c>
      <c r="K325">
        <v>45249</v>
      </c>
      <c r="L325">
        <v>0.15</v>
      </c>
      <c r="M325">
        <v>153846.6</v>
      </c>
      <c r="N325">
        <v>89291.25</v>
      </c>
      <c r="O325">
        <v>64555.35</v>
      </c>
      <c r="P325" t="s">
        <v>32</v>
      </c>
      <c r="Q325">
        <v>3</v>
      </c>
      <c r="R325" t="b">
        <f>ISBLANK(Table1[[#This Row],[Region]])</f>
        <v>0</v>
      </c>
    </row>
    <row r="326" spans="1:18" x14ac:dyDescent="0.3">
      <c r="A326" t="s">
        <v>569</v>
      </c>
      <c r="B326" s="1">
        <v>45716</v>
      </c>
      <c r="C326" t="s">
        <v>329</v>
      </c>
      <c r="D326" t="s">
        <v>323</v>
      </c>
      <c r="E326" t="s">
        <v>49</v>
      </c>
      <c r="F326" t="s">
        <v>20</v>
      </c>
      <c r="G326" t="s">
        <v>102</v>
      </c>
      <c r="H326" t="s">
        <v>37</v>
      </c>
      <c r="I326" t="s">
        <v>38</v>
      </c>
      <c r="J326">
        <v>8</v>
      </c>
      <c r="K326">
        <v>46063</v>
      </c>
      <c r="L326">
        <v>0</v>
      </c>
      <c r="M326">
        <v>368504</v>
      </c>
      <c r="N326">
        <v>266612.47999999998</v>
      </c>
      <c r="O326">
        <v>101891.52</v>
      </c>
      <c r="P326" t="s">
        <v>32</v>
      </c>
      <c r="Q326">
        <v>1</v>
      </c>
      <c r="R326" t="b">
        <f>ISBLANK(Table1[[#This Row],[Region]])</f>
        <v>0</v>
      </c>
    </row>
    <row r="327" spans="1:18" x14ac:dyDescent="0.3">
      <c r="A327" t="s">
        <v>570</v>
      </c>
      <c r="B327" s="1">
        <v>45935</v>
      </c>
      <c r="C327" t="s">
        <v>164</v>
      </c>
      <c r="D327" t="s">
        <v>282</v>
      </c>
      <c r="E327" t="s">
        <v>49</v>
      </c>
      <c r="F327" t="s">
        <v>20</v>
      </c>
      <c r="G327" t="s">
        <v>76</v>
      </c>
      <c r="H327" t="s">
        <v>37</v>
      </c>
      <c r="I327" t="s">
        <v>68</v>
      </c>
      <c r="J327">
        <v>3</v>
      </c>
      <c r="K327">
        <v>55451</v>
      </c>
      <c r="L327">
        <v>0.2</v>
      </c>
      <c r="M327">
        <v>133082.4</v>
      </c>
      <c r="N327">
        <v>82094.38</v>
      </c>
      <c r="O327">
        <v>50988.02</v>
      </c>
      <c r="P327" t="s">
        <v>45</v>
      </c>
      <c r="Q327">
        <v>1</v>
      </c>
      <c r="R327" t="b">
        <f>ISBLANK(Table1[[#This Row],[Region]])</f>
        <v>0</v>
      </c>
    </row>
    <row r="328" spans="1:18" x14ac:dyDescent="0.3">
      <c r="A328" t="s">
        <v>571</v>
      </c>
      <c r="B328" s="1">
        <v>45795</v>
      </c>
      <c r="C328" t="s">
        <v>416</v>
      </c>
      <c r="D328" t="s">
        <v>443</v>
      </c>
      <c r="E328" t="s">
        <v>60</v>
      </c>
      <c r="F328" t="s">
        <v>29</v>
      </c>
      <c r="G328" t="s">
        <v>30</v>
      </c>
      <c r="H328" t="s">
        <v>37</v>
      </c>
      <c r="I328" t="s">
        <v>110</v>
      </c>
      <c r="J328">
        <v>7</v>
      </c>
      <c r="K328">
        <v>19580</v>
      </c>
      <c r="L328">
        <v>0.15</v>
      </c>
      <c r="M328">
        <v>116501</v>
      </c>
      <c r="N328">
        <v>100200.76</v>
      </c>
      <c r="O328">
        <v>16300.24</v>
      </c>
      <c r="P328" t="s">
        <v>45</v>
      </c>
      <c r="Q328">
        <v>1</v>
      </c>
      <c r="R328" t="b">
        <f>ISBLANK(Table1[[#This Row],[Region]])</f>
        <v>0</v>
      </c>
    </row>
    <row r="329" spans="1:18" x14ac:dyDescent="0.3">
      <c r="A329" t="s">
        <v>572</v>
      </c>
      <c r="B329" s="1">
        <v>45784</v>
      </c>
      <c r="C329" t="s">
        <v>573</v>
      </c>
      <c r="D329" t="s">
        <v>409</v>
      </c>
      <c r="E329" t="s">
        <v>49</v>
      </c>
      <c r="F329" t="s">
        <v>20</v>
      </c>
      <c r="G329" t="s">
        <v>50</v>
      </c>
      <c r="H329" t="s">
        <v>55</v>
      </c>
      <c r="I329" t="s">
        <v>106</v>
      </c>
      <c r="J329">
        <v>6</v>
      </c>
      <c r="K329">
        <v>8513</v>
      </c>
      <c r="L329">
        <v>0.15</v>
      </c>
      <c r="M329">
        <v>43416.3</v>
      </c>
      <c r="N329">
        <v>34601.35</v>
      </c>
      <c r="O329">
        <v>8814.9500000000007</v>
      </c>
      <c r="P329" t="s">
        <v>24</v>
      </c>
      <c r="Q329">
        <v>3</v>
      </c>
      <c r="R329" t="b">
        <f>ISBLANK(Table1[[#This Row],[Region]])</f>
        <v>0</v>
      </c>
    </row>
    <row r="330" spans="1:18" x14ac:dyDescent="0.3">
      <c r="A330" t="s">
        <v>574</v>
      </c>
      <c r="B330" s="1">
        <v>45698</v>
      </c>
      <c r="C330" t="s">
        <v>575</v>
      </c>
      <c r="D330" t="s">
        <v>201</v>
      </c>
      <c r="E330" t="s">
        <v>60</v>
      </c>
      <c r="F330" t="s">
        <v>20</v>
      </c>
      <c r="G330" t="s">
        <v>21</v>
      </c>
      <c r="H330" t="s">
        <v>43</v>
      </c>
      <c r="I330" t="s">
        <v>158</v>
      </c>
      <c r="J330">
        <v>3</v>
      </c>
      <c r="K330">
        <v>4880</v>
      </c>
      <c r="L330">
        <v>0</v>
      </c>
      <c r="M330">
        <v>14640</v>
      </c>
      <c r="N330">
        <v>10694.07</v>
      </c>
      <c r="O330">
        <v>3945.93</v>
      </c>
      <c r="P330" t="s">
        <v>78</v>
      </c>
      <c r="Q330">
        <v>1</v>
      </c>
      <c r="R330" t="b">
        <f>ISBLANK(Table1[[#This Row],[Region]])</f>
        <v>0</v>
      </c>
    </row>
    <row r="331" spans="1:18" x14ac:dyDescent="0.3">
      <c r="A331" t="s">
        <v>576</v>
      </c>
      <c r="B331" s="1">
        <v>45726</v>
      </c>
      <c r="C331" t="s">
        <v>206</v>
      </c>
      <c r="D331" t="s">
        <v>577</v>
      </c>
      <c r="E331" t="s">
        <v>60</v>
      </c>
      <c r="F331" t="s">
        <v>29</v>
      </c>
      <c r="G331" t="s">
        <v>102</v>
      </c>
      <c r="H331" t="s">
        <v>43</v>
      </c>
      <c r="I331" t="s">
        <v>77</v>
      </c>
      <c r="J331">
        <v>8</v>
      </c>
      <c r="K331">
        <v>7328</v>
      </c>
      <c r="L331">
        <v>0</v>
      </c>
      <c r="M331">
        <v>58624</v>
      </c>
      <c r="N331">
        <v>36391.089999999997</v>
      </c>
      <c r="O331">
        <v>22232.91</v>
      </c>
      <c r="P331" t="s">
        <v>24</v>
      </c>
      <c r="Q331">
        <v>2</v>
      </c>
      <c r="R331" t="b">
        <f>ISBLANK(Table1[[#This Row],[Region]])</f>
        <v>0</v>
      </c>
    </row>
    <row r="332" spans="1:18" x14ac:dyDescent="0.3">
      <c r="A332" t="s">
        <v>578</v>
      </c>
      <c r="B332" s="1">
        <v>45795</v>
      </c>
      <c r="C332" t="s">
        <v>432</v>
      </c>
      <c r="D332" t="s">
        <v>117</v>
      </c>
      <c r="E332" t="s">
        <v>19</v>
      </c>
      <c r="F332" t="s">
        <v>20</v>
      </c>
      <c r="G332" t="s">
        <v>50</v>
      </c>
      <c r="H332" t="s">
        <v>55</v>
      </c>
      <c r="I332" t="s">
        <v>56</v>
      </c>
      <c r="J332">
        <v>1</v>
      </c>
      <c r="K332">
        <v>16985</v>
      </c>
      <c r="L332">
        <v>0.05</v>
      </c>
      <c r="M332">
        <v>16135.75</v>
      </c>
      <c r="N332">
        <v>10856.55</v>
      </c>
      <c r="O332">
        <v>5279.2</v>
      </c>
      <c r="P332" t="s">
        <v>78</v>
      </c>
      <c r="Q332">
        <v>5</v>
      </c>
      <c r="R332" t="b">
        <f>ISBLANK(Table1[[#This Row],[Region]])</f>
        <v>0</v>
      </c>
    </row>
    <row r="333" spans="1:18" x14ac:dyDescent="0.3">
      <c r="A333" t="s">
        <v>579</v>
      </c>
      <c r="B333" s="1">
        <v>45836</v>
      </c>
      <c r="C333" t="s">
        <v>553</v>
      </c>
      <c r="D333" t="s">
        <v>443</v>
      </c>
      <c r="E333" t="s">
        <v>28</v>
      </c>
      <c r="F333" t="s">
        <v>29</v>
      </c>
      <c r="G333" t="s">
        <v>102</v>
      </c>
      <c r="H333" t="s">
        <v>55</v>
      </c>
      <c r="I333" t="s">
        <v>106</v>
      </c>
      <c r="J333">
        <v>2</v>
      </c>
      <c r="K333">
        <v>13083</v>
      </c>
      <c r="L333">
        <v>0.1</v>
      </c>
      <c r="M333">
        <v>23549.4</v>
      </c>
      <c r="N333">
        <v>17004.509999999998</v>
      </c>
      <c r="O333">
        <v>6544.89</v>
      </c>
      <c r="P333" t="s">
        <v>24</v>
      </c>
      <c r="Q333">
        <v>1</v>
      </c>
      <c r="R333" t="b">
        <f>ISBLANK(Table1[[#This Row],[Region]])</f>
        <v>0</v>
      </c>
    </row>
    <row r="334" spans="1:18" x14ac:dyDescent="0.3">
      <c r="A334" t="s">
        <v>580</v>
      </c>
      <c r="B334" s="1">
        <v>45998</v>
      </c>
      <c r="C334" t="s">
        <v>329</v>
      </c>
      <c r="D334" t="s">
        <v>339</v>
      </c>
      <c r="E334" t="s">
        <v>28</v>
      </c>
      <c r="F334" t="s">
        <v>20</v>
      </c>
      <c r="G334" t="s">
        <v>102</v>
      </c>
      <c r="H334" t="s">
        <v>22</v>
      </c>
      <c r="I334" t="s">
        <v>23</v>
      </c>
      <c r="J334">
        <v>6</v>
      </c>
      <c r="K334">
        <v>12939</v>
      </c>
      <c r="L334">
        <v>0.05</v>
      </c>
      <c r="M334">
        <v>73752.3</v>
      </c>
      <c r="N334">
        <v>59727.39</v>
      </c>
      <c r="O334">
        <v>14024.91</v>
      </c>
      <c r="P334" t="s">
        <v>45</v>
      </c>
      <c r="Q334">
        <v>2</v>
      </c>
      <c r="R334" t="b">
        <f>ISBLANK(Table1[[#This Row],[Region]])</f>
        <v>0</v>
      </c>
    </row>
    <row r="335" spans="1:18" x14ac:dyDescent="0.3">
      <c r="A335" t="s">
        <v>581</v>
      </c>
      <c r="B335" s="1">
        <v>45720</v>
      </c>
      <c r="C335" t="s">
        <v>319</v>
      </c>
      <c r="D335" t="s">
        <v>333</v>
      </c>
      <c r="E335" t="s">
        <v>28</v>
      </c>
      <c r="F335" t="s">
        <v>20</v>
      </c>
      <c r="G335" t="s">
        <v>76</v>
      </c>
      <c r="H335" t="s">
        <v>22</v>
      </c>
      <c r="I335" t="s">
        <v>95</v>
      </c>
      <c r="J335">
        <v>4</v>
      </c>
      <c r="K335">
        <v>2422</v>
      </c>
      <c r="L335">
        <v>0.15</v>
      </c>
      <c r="M335">
        <v>8234.7999999999993</v>
      </c>
      <c r="N335">
        <v>5668.82</v>
      </c>
      <c r="O335">
        <v>2565.98</v>
      </c>
      <c r="P335" t="s">
        <v>45</v>
      </c>
      <c r="Q335">
        <v>5</v>
      </c>
      <c r="R335" t="b">
        <f>ISBLANK(Table1[[#This Row],[Region]])</f>
        <v>0</v>
      </c>
    </row>
    <row r="336" spans="1:18" x14ac:dyDescent="0.3">
      <c r="A336" t="s">
        <v>582</v>
      </c>
      <c r="B336" s="1">
        <v>45899</v>
      </c>
      <c r="C336" t="s">
        <v>70</v>
      </c>
      <c r="D336" t="s">
        <v>117</v>
      </c>
      <c r="E336" t="s">
        <v>19</v>
      </c>
      <c r="F336" t="s">
        <v>29</v>
      </c>
      <c r="G336" t="s">
        <v>76</v>
      </c>
      <c r="H336" t="s">
        <v>55</v>
      </c>
      <c r="I336" t="s">
        <v>61</v>
      </c>
      <c r="J336">
        <v>4</v>
      </c>
      <c r="K336">
        <v>5646</v>
      </c>
      <c r="L336">
        <v>0</v>
      </c>
      <c r="M336">
        <v>22584</v>
      </c>
      <c r="N336">
        <v>18118.36</v>
      </c>
      <c r="O336">
        <v>4465.6400000000003</v>
      </c>
      <c r="P336" t="s">
        <v>24</v>
      </c>
      <c r="Q336">
        <v>1</v>
      </c>
      <c r="R336" t="b">
        <f>ISBLANK(Table1[[#This Row],[Region]])</f>
        <v>0</v>
      </c>
    </row>
    <row r="337" spans="1:18" x14ac:dyDescent="0.3">
      <c r="A337" t="s">
        <v>583</v>
      </c>
      <c r="B337" s="1">
        <v>45740</v>
      </c>
      <c r="C337" t="s">
        <v>231</v>
      </c>
      <c r="D337" t="s">
        <v>395</v>
      </c>
      <c r="E337" t="s">
        <v>49</v>
      </c>
      <c r="F337" t="s">
        <v>20</v>
      </c>
      <c r="G337" t="s">
        <v>50</v>
      </c>
      <c r="H337" t="s">
        <v>22</v>
      </c>
      <c r="I337" t="s">
        <v>23</v>
      </c>
      <c r="J337">
        <v>2</v>
      </c>
      <c r="K337">
        <v>13261</v>
      </c>
      <c r="L337">
        <v>0.2</v>
      </c>
      <c r="M337">
        <v>21217.599999999999</v>
      </c>
      <c r="N337">
        <v>17456.59</v>
      </c>
      <c r="O337">
        <v>3761.01</v>
      </c>
      <c r="P337" t="s">
        <v>45</v>
      </c>
      <c r="Q337">
        <v>4</v>
      </c>
      <c r="R337" t="b">
        <f>ISBLANK(Table1[[#This Row],[Region]])</f>
        <v>0</v>
      </c>
    </row>
    <row r="338" spans="1:18" x14ac:dyDescent="0.3">
      <c r="A338" t="s">
        <v>584</v>
      </c>
      <c r="B338" s="1">
        <v>45709</v>
      </c>
      <c r="C338" t="s">
        <v>63</v>
      </c>
      <c r="D338" t="s">
        <v>126</v>
      </c>
      <c r="E338" t="s">
        <v>19</v>
      </c>
      <c r="F338" t="s">
        <v>20</v>
      </c>
      <c r="G338" t="s">
        <v>109</v>
      </c>
      <c r="H338" t="s">
        <v>22</v>
      </c>
      <c r="I338" t="s">
        <v>95</v>
      </c>
      <c r="J338">
        <v>7</v>
      </c>
      <c r="K338">
        <v>4047</v>
      </c>
      <c r="L338">
        <v>0.2</v>
      </c>
      <c r="M338">
        <v>22663.200000000001</v>
      </c>
      <c r="N338">
        <v>15110.7</v>
      </c>
      <c r="O338">
        <v>7552.5</v>
      </c>
      <c r="P338" t="s">
        <v>45</v>
      </c>
      <c r="Q338">
        <v>5</v>
      </c>
      <c r="R338" t="b">
        <f>ISBLANK(Table1[[#This Row],[Region]])</f>
        <v>0</v>
      </c>
    </row>
    <row r="339" spans="1:18" x14ac:dyDescent="0.3">
      <c r="A339" t="s">
        <v>585</v>
      </c>
      <c r="B339" s="1">
        <v>45974</v>
      </c>
      <c r="C339" t="s">
        <v>521</v>
      </c>
      <c r="D339" t="s">
        <v>534</v>
      </c>
      <c r="E339" t="s">
        <v>28</v>
      </c>
      <c r="F339" t="s">
        <v>20</v>
      </c>
      <c r="G339" t="s">
        <v>102</v>
      </c>
      <c r="H339" t="s">
        <v>55</v>
      </c>
      <c r="I339" t="s">
        <v>56</v>
      </c>
      <c r="J339">
        <v>1</v>
      </c>
      <c r="K339">
        <v>12888</v>
      </c>
      <c r="L339">
        <v>0</v>
      </c>
      <c r="M339">
        <v>12888</v>
      </c>
      <c r="N339">
        <v>8443.4599999999991</v>
      </c>
      <c r="O339">
        <v>4444.54</v>
      </c>
      <c r="P339" t="s">
        <v>78</v>
      </c>
      <c r="Q339">
        <v>1</v>
      </c>
      <c r="R339" t="b">
        <f>ISBLANK(Table1[[#This Row],[Region]])</f>
        <v>0</v>
      </c>
    </row>
    <row r="340" spans="1:18" x14ac:dyDescent="0.3">
      <c r="A340" t="s">
        <v>586</v>
      </c>
      <c r="B340" s="1">
        <v>45871</v>
      </c>
      <c r="C340" t="s">
        <v>40</v>
      </c>
      <c r="D340" t="s">
        <v>323</v>
      </c>
      <c r="E340" t="s">
        <v>49</v>
      </c>
      <c r="F340" t="s">
        <v>20</v>
      </c>
      <c r="G340" t="s">
        <v>36</v>
      </c>
      <c r="H340" t="s">
        <v>37</v>
      </c>
      <c r="I340" t="s">
        <v>51</v>
      </c>
      <c r="J340">
        <v>7</v>
      </c>
      <c r="K340">
        <v>62973</v>
      </c>
      <c r="L340">
        <v>0.1</v>
      </c>
      <c r="M340">
        <v>396729.9</v>
      </c>
      <c r="N340">
        <v>272470.25</v>
      </c>
      <c r="O340">
        <v>124259.65</v>
      </c>
      <c r="P340" t="s">
        <v>24</v>
      </c>
      <c r="Q340">
        <v>4</v>
      </c>
      <c r="R340" t="b">
        <f>ISBLANK(Table1[[#This Row],[Region]])</f>
        <v>0</v>
      </c>
    </row>
    <row r="341" spans="1:18" x14ac:dyDescent="0.3">
      <c r="A341" t="s">
        <v>587</v>
      </c>
      <c r="B341" s="1">
        <v>45791</v>
      </c>
      <c r="C341" t="s">
        <v>125</v>
      </c>
      <c r="D341" t="s">
        <v>199</v>
      </c>
      <c r="E341" t="s">
        <v>19</v>
      </c>
      <c r="F341" t="s">
        <v>29</v>
      </c>
      <c r="G341" t="s">
        <v>42</v>
      </c>
      <c r="H341" t="s">
        <v>22</v>
      </c>
      <c r="I341" t="s">
        <v>31</v>
      </c>
      <c r="J341">
        <v>5</v>
      </c>
      <c r="K341">
        <v>2730</v>
      </c>
      <c r="L341">
        <v>0.2</v>
      </c>
      <c r="M341">
        <v>10920</v>
      </c>
      <c r="N341">
        <v>8596.0499999999993</v>
      </c>
      <c r="O341">
        <v>2323.9499999999998</v>
      </c>
      <c r="P341" t="s">
        <v>32</v>
      </c>
      <c r="Q341">
        <v>1</v>
      </c>
      <c r="R341" t="b">
        <f>ISBLANK(Table1[[#This Row],[Region]])</f>
        <v>0</v>
      </c>
    </row>
    <row r="342" spans="1:18" x14ac:dyDescent="0.3">
      <c r="A342" t="s">
        <v>588</v>
      </c>
      <c r="B342" s="1">
        <v>45772</v>
      </c>
      <c r="C342" t="s">
        <v>416</v>
      </c>
      <c r="D342" t="s">
        <v>54</v>
      </c>
      <c r="E342" t="s">
        <v>49</v>
      </c>
      <c r="F342" t="s">
        <v>29</v>
      </c>
      <c r="G342" t="s">
        <v>50</v>
      </c>
      <c r="H342" t="s">
        <v>43</v>
      </c>
      <c r="I342" t="s">
        <v>44</v>
      </c>
      <c r="J342">
        <v>2</v>
      </c>
      <c r="K342">
        <v>7101</v>
      </c>
      <c r="L342">
        <v>0.05</v>
      </c>
      <c r="M342">
        <v>13491.9</v>
      </c>
      <c r="N342">
        <v>8997.8799999999992</v>
      </c>
      <c r="O342">
        <v>4494.0200000000004</v>
      </c>
      <c r="P342" t="s">
        <v>78</v>
      </c>
      <c r="Q342">
        <v>3</v>
      </c>
      <c r="R342" t="b">
        <f>ISBLANK(Table1[[#This Row],[Region]])</f>
        <v>0</v>
      </c>
    </row>
    <row r="343" spans="1:18" x14ac:dyDescent="0.3">
      <c r="A343" t="s">
        <v>589</v>
      </c>
      <c r="B343" s="1">
        <v>45832</v>
      </c>
      <c r="C343" t="s">
        <v>294</v>
      </c>
      <c r="D343" t="s">
        <v>84</v>
      </c>
      <c r="E343" t="s">
        <v>49</v>
      </c>
      <c r="F343" t="s">
        <v>20</v>
      </c>
      <c r="G343" t="s">
        <v>102</v>
      </c>
      <c r="H343" t="s">
        <v>43</v>
      </c>
      <c r="I343" t="s">
        <v>158</v>
      </c>
      <c r="J343">
        <v>4</v>
      </c>
      <c r="K343">
        <v>4747</v>
      </c>
      <c r="L343">
        <v>0.1</v>
      </c>
      <c r="M343">
        <v>17089.2</v>
      </c>
      <c r="N343">
        <v>12539.54</v>
      </c>
      <c r="O343">
        <v>4549.66</v>
      </c>
      <c r="P343" t="s">
        <v>32</v>
      </c>
      <c r="Q343">
        <v>2</v>
      </c>
      <c r="R343" t="b">
        <f>ISBLANK(Table1[[#This Row],[Region]])</f>
        <v>0</v>
      </c>
    </row>
    <row r="344" spans="1:18" x14ac:dyDescent="0.3">
      <c r="A344" t="s">
        <v>590</v>
      </c>
      <c r="B344" s="1">
        <v>45750</v>
      </c>
      <c r="C344" t="s">
        <v>119</v>
      </c>
      <c r="D344" t="s">
        <v>411</v>
      </c>
      <c r="E344" t="s">
        <v>60</v>
      </c>
      <c r="F344" t="s">
        <v>20</v>
      </c>
      <c r="G344" t="s">
        <v>76</v>
      </c>
      <c r="H344" t="s">
        <v>37</v>
      </c>
      <c r="I344" t="s">
        <v>51</v>
      </c>
      <c r="J344">
        <v>2</v>
      </c>
      <c r="K344">
        <v>31367</v>
      </c>
      <c r="L344">
        <v>0.25</v>
      </c>
      <c r="M344">
        <v>47050.5</v>
      </c>
      <c r="N344">
        <v>34811.96</v>
      </c>
      <c r="O344">
        <v>12238.54</v>
      </c>
      <c r="P344" t="s">
        <v>45</v>
      </c>
      <c r="Q344">
        <v>5</v>
      </c>
      <c r="R344" t="b">
        <f>ISBLANK(Table1[[#This Row],[Region]])</f>
        <v>0</v>
      </c>
    </row>
    <row r="345" spans="1:18" x14ac:dyDescent="0.3">
      <c r="A345" t="s">
        <v>591</v>
      </c>
      <c r="B345" s="1">
        <v>45962</v>
      </c>
      <c r="C345" t="s">
        <v>143</v>
      </c>
      <c r="D345" t="s">
        <v>131</v>
      </c>
      <c r="E345" t="s">
        <v>60</v>
      </c>
      <c r="F345" t="s">
        <v>20</v>
      </c>
      <c r="G345" t="s">
        <v>36</v>
      </c>
      <c r="H345" t="s">
        <v>43</v>
      </c>
      <c r="I345" t="s">
        <v>44</v>
      </c>
      <c r="J345">
        <v>8</v>
      </c>
      <c r="K345">
        <v>5660</v>
      </c>
      <c r="L345">
        <v>0.2</v>
      </c>
      <c r="M345">
        <v>36224</v>
      </c>
      <c r="N345">
        <v>24607.46</v>
      </c>
      <c r="O345">
        <v>11616.54</v>
      </c>
      <c r="P345" t="s">
        <v>24</v>
      </c>
      <c r="Q345">
        <v>1</v>
      </c>
      <c r="R345" t="b">
        <f>ISBLANK(Table1[[#This Row],[Region]])</f>
        <v>0</v>
      </c>
    </row>
    <row r="346" spans="1:18" x14ac:dyDescent="0.3">
      <c r="A346" t="s">
        <v>592</v>
      </c>
      <c r="B346" s="1">
        <v>45686</v>
      </c>
      <c r="C346" t="s">
        <v>332</v>
      </c>
      <c r="D346" t="s">
        <v>369</v>
      </c>
      <c r="E346" t="s">
        <v>60</v>
      </c>
      <c r="F346" t="s">
        <v>29</v>
      </c>
      <c r="G346" t="s">
        <v>42</v>
      </c>
      <c r="H346" t="s">
        <v>55</v>
      </c>
      <c r="I346" t="s">
        <v>121</v>
      </c>
      <c r="J346">
        <v>3</v>
      </c>
      <c r="K346">
        <v>2192</v>
      </c>
      <c r="L346">
        <v>0.2</v>
      </c>
      <c r="M346">
        <v>5260.8</v>
      </c>
      <c r="N346">
        <v>3601.96</v>
      </c>
      <c r="O346">
        <v>1658.84</v>
      </c>
      <c r="P346" t="s">
        <v>32</v>
      </c>
      <c r="Q346">
        <v>4</v>
      </c>
      <c r="R346" t="b">
        <f>ISBLANK(Table1[[#This Row],[Region]])</f>
        <v>0</v>
      </c>
    </row>
    <row r="347" spans="1:18" x14ac:dyDescent="0.3">
      <c r="A347" t="s">
        <v>593</v>
      </c>
      <c r="B347" s="1">
        <v>46021</v>
      </c>
      <c r="C347" t="s">
        <v>203</v>
      </c>
      <c r="D347" t="s">
        <v>594</v>
      </c>
      <c r="E347" t="s">
        <v>60</v>
      </c>
      <c r="F347" t="s">
        <v>20</v>
      </c>
      <c r="G347" t="s">
        <v>102</v>
      </c>
      <c r="H347" t="s">
        <v>22</v>
      </c>
      <c r="I347" t="s">
        <v>72</v>
      </c>
      <c r="J347">
        <v>1</v>
      </c>
      <c r="K347">
        <v>7136</v>
      </c>
      <c r="L347">
        <v>0.25</v>
      </c>
      <c r="M347">
        <v>5352</v>
      </c>
      <c r="N347">
        <v>4433.05</v>
      </c>
      <c r="O347">
        <v>918.95</v>
      </c>
      <c r="P347" t="s">
        <v>78</v>
      </c>
      <c r="Q347">
        <v>2</v>
      </c>
      <c r="R347" t="b">
        <f>ISBLANK(Table1[[#This Row],[Region]])</f>
        <v>0</v>
      </c>
    </row>
    <row r="348" spans="1:18" x14ac:dyDescent="0.3">
      <c r="A348" t="s">
        <v>595</v>
      </c>
      <c r="B348" s="1">
        <v>45889</v>
      </c>
      <c r="C348" t="s">
        <v>125</v>
      </c>
      <c r="D348" t="s">
        <v>87</v>
      </c>
      <c r="E348" t="s">
        <v>60</v>
      </c>
      <c r="F348" t="s">
        <v>29</v>
      </c>
      <c r="G348" t="s">
        <v>30</v>
      </c>
      <c r="H348" t="s">
        <v>37</v>
      </c>
      <c r="I348" t="s">
        <v>68</v>
      </c>
      <c r="J348">
        <v>3</v>
      </c>
      <c r="K348">
        <v>1792</v>
      </c>
      <c r="L348">
        <v>0.25</v>
      </c>
      <c r="M348">
        <v>4032</v>
      </c>
      <c r="N348">
        <v>2733.63</v>
      </c>
      <c r="O348">
        <v>1298.3699999999999</v>
      </c>
      <c r="P348" t="s">
        <v>45</v>
      </c>
      <c r="Q348">
        <v>4</v>
      </c>
      <c r="R348" t="b">
        <f>ISBLANK(Table1[[#This Row],[Region]])</f>
        <v>0</v>
      </c>
    </row>
    <row r="349" spans="1:18" x14ac:dyDescent="0.3">
      <c r="A349" t="s">
        <v>596</v>
      </c>
      <c r="B349" s="1">
        <v>45830</v>
      </c>
      <c r="C349" t="s">
        <v>432</v>
      </c>
      <c r="D349" t="s">
        <v>134</v>
      </c>
      <c r="E349" t="s">
        <v>19</v>
      </c>
      <c r="F349" t="s">
        <v>20</v>
      </c>
      <c r="G349" t="s">
        <v>109</v>
      </c>
      <c r="H349" t="s">
        <v>37</v>
      </c>
      <c r="I349" t="s">
        <v>110</v>
      </c>
      <c r="J349">
        <v>4</v>
      </c>
      <c r="K349">
        <v>63716</v>
      </c>
      <c r="L349">
        <v>0.15</v>
      </c>
      <c r="M349">
        <v>216634.4</v>
      </c>
      <c r="N349">
        <v>165496.75</v>
      </c>
      <c r="O349">
        <v>51137.65</v>
      </c>
      <c r="P349" t="s">
        <v>78</v>
      </c>
      <c r="Q349">
        <v>4</v>
      </c>
      <c r="R349" t="b">
        <f>ISBLANK(Table1[[#This Row],[Region]])</f>
        <v>0</v>
      </c>
    </row>
    <row r="350" spans="1:18" x14ac:dyDescent="0.3">
      <c r="A350" t="s">
        <v>597</v>
      </c>
      <c r="B350" s="1">
        <v>45863</v>
      </c>
      <c r="C350" t="s">
        <v>598</v>
      </c>
      <c r="D350" t="s">
        <v>219</v>
      </c>
      <c r="E350" t="s">
        <v>28</v>
      </c>
      <c r="F350" t="s">
        <v>20</v>
      </c>
      <c r="G350" t="s">
        <v>109</v>
      </c>
      <c r="H350" t="s">
        <v>37</v>
      </c>
      <c r="I350" t="s">
        <v>68</v>
      </c>
      <c r="J350">
        <v>2</v>
      </c>
      <c r="K350">
        <v>24630</v>
      </c>
      <c r="L350">
        <v>0.1</v>
      </c>
      <c r="M350">
        <v>44334</v>
      </c>
      <c r="N350">
        <v>25407.87</v>
      </c>
      <c r="O350">
        <v>18926.13</v>
      </c>
      <c r="P350" t="s">
        <v>45</v>
      </c>
      <c r="Q350">
        <v>3</v>
      </c>
      <c r="R350" t="b">
        <f>ISBLANK(Table1[[#This Row],[Region]])</f>
        <v>0</v>
      </c>
    </row>
    <row r="351" spans="1:18" x14ac:dyDescent="0.3">
      <c r="A351" t="s">
        <v>599</v>
      </c>
      <c r="B351" s="1">
        <v>45719</v>
      </c>
      <c r="C351" t="s">
        <v>390</v>
      </c>
      <c r="D351" t="s">
        <v>473</v>
      </c>
      <c r="E351" t="s">
        <v>28</v>
      </c>
      <c r="F351" t="s">
        <v>20</v>
      </c>
      <c r="G351" t="s">
        <v>50</v>
      </c>
      <c r="H351" t="s">
        <v>22</v>
      </c>
      <c r="I351" t="s">
        <v>31</v>
      </c>
      <c r="J351">
        <v>2</v>
      </c>
      <c r="K351">
        <v>5444</v>
      </c>
      <c r="L351">
        <v>0.1</v>
      </c>
      <c r="M351">
        <v>9799.2000000000007</v>
      </c>
      <c r="N351">
        <v>6615.88</v>
      </c>
      <c r="O351">
        <v>3183.32</v>
      </c>
      <c r="P351" t="s">
        <v>32</v>
      </c>
      <c r="Q351">
        <v>5</v>
      </c>
      <c r="R351" t="b">
        <f>ISBLANK(Table1[[#This Row],[Region]])</f>
        <v>0</v>
      </c>
    </row>
    <row r="352" spans="1:18" x14ac:dyDescent="0.3">
      <c r="A352" t="s">
        <v>600</v>
      </c>
      <c r="B352" s="1">
        <v>46014</v>
      </c>
      <c r="C352" t="s">
        <v>601</v>
      </c>
      <c r="D352" t="s">
        <v>84</v>
      </c>
      <c r="E352" t="s">
        <v>28</v>
      </c>
      <c r="F352" t="s">
        <v>29</v>
      </c>
      <c r="G352" t="s">
        <v>30</v>
      </c>
      <c r="H352" t="s">
        <v>43</v>
      </c>
      <c r="I352" t="s">
        <v>44</v>
      </c>
      <c r="J352">
        <v>1</v>
      </c>
      <c r="K352">
        <v>4816</v>
      </c>
      <c r="L352">
        <v>0</v>
      </c>
      <c r="M352">
        <v>4816</v>
      </c>
      <c r="N352">
        <v>3576.48</v>
      </c>
      <c r="O352">
        <v>1239.52</v>
      </c>
      <c r="P352" t="s">
        <v>45</v>
      </c>
      <c r="Q352">
        <v>1</v>
      </c>
      <c r="R352" t="b">
        <f>ISBLANK(Table1[[#This Row],[Region]])</f>
        <v>0</v>
      </c>
    </row>
    <row r="353" spans="1:18" x14ac:dyDescent="0.3">
      <c r="A353" t="s">
        <v>602</v>
      </c>
      <c r="B353" s="1">
        <v>45922</v>
      </c>
      <c r="C353" t="s">
        <v>189</v>
      </c>
      <c r="D353" t="s">
        <v>534</v>
      </c>
      <c r="E353" t="s">
        <v>19</v>
      </c>
      <c r="F353" t="s">
        <v>29</v>
      </c>
      <c r="G353" t="s">
        <v>42</v>
      </c>
      <c r="H353" t="s">
        <v>37</v>
      </c>
      <c r="I353" t="s">
        <v>68</v>
      </c>
      <c r="J353">
        <v>8</v>
      </c>
      <c r="K353">
        <v>53722</v>
      </c>
      <c r="L353">
        <v>0.1</v>
      </c>
      <c r="M353">
        <v>386798.4</v>
      </c>
      <c r="N353">
        <v>234423.32</v>
      </c>
      <c r="O353">
        <v>152375.07999999999</v>
      </c>
      <c r="P353" t="s">
        <v>45</v>
      </c>
      <c r="Q353">
        <v>3</v>
      </c>
      <c r="R353" t="b">
        <f>ISBLANK(Table1[[#This Row],[Region]])</f>
        <v>0</v>
      </c>
    </row>
    <row r="354" spans="1:18" x14ac:dyDescent="0.3">
      <c r="A354" t="s">
        <v>603</v>
      </c>
      <c r="B354" s="1">
        <v>45989</v>
      </c>
      <c r="C354" t="s">
        <v>575</v>
      </c>
      <c r="D354" t="s">
        <v>339</v>
      </c>
      <c r="E354" t="s">
        <v>60</v>
      </c>
      <c r="F354" t="s">
        <v>20</v>
      </c>
      <c r="G354" t="s">
        <v>109</v>
      </c>
      <c r="H354" t="s">
        <v>22</v>
      </c>
      <c r="I354" t="s">
        <v>95</v>
      </c>
      <c r="J354">
        <v>4</v>
      </c>
      <c r="K354">
        <v>12833</v>
      </c>
      <c r="L354">
        <v>0.2</v>
      </c>
      <c r="M354">
        <v>41065.599999999999</v>
      </c>
      <c r="N354">
        <v>31156.02</v>
      </c>
      <c r="O354">
        <v>9909.58</v>
      </c>
      <c r="P354" t="s">
        <v>45</v>
      </c>
      <c r="Q354">
        <v>3</v>
      </c>
      <c r="R354" t="b">
        <f>ISBLANK(Table1[[#This Row],[Region]])</f>
        <v>0</v>
      </c>
    </row>
    <row r="355" spans="1:18" x14ac:dyDescent="0.3">
      <c r="A355" t="s">
        <v>604</v>
      </c>
      <c r="B355" s="1">
        <v>45957</v>
      </c>
      <c r="C355" t="s">
        <v>482</v>
      </c>
      <c r="D355" t="s">
        <v>306</v>
      </c>
      <c r="E355" t="s">
        <v>60</v>
      </c>
      <c r="F355" t="s">
        <v>20</v>
      </c>
      <c r="G355" t="s">
        <v>30</v>
      </c>
      <c r="H355" t="s">
        <v>22</v>
      </c>
      <c r="I355" t="s">
        <v>23</v>
      </c>
      <c r="J355">
        <v>3</v>
      </c>
      <c r="K355">
        <v>12964</v>
      </c>
      <c r="L355">
        <v>0.25</v>
      </c>
      <c r="M355">
        <v>29169</v>
      </c>
      <c r="N355">
        <v>24781.59</v>
      </c>
      <c r="O355">
        <v>4387.41</v>
      </c>
      <c r="P355" t="s">
        <v>32</v>
      </c>
      <c r="Q355">
        <v>2</v>
      </c>
      <c r="R355" t="b">
        <f>ISBLANK(Table1[[#This Row],[Region]])</f>
        <v>0</v>
      </c>
    </row>
    <row r="356" spans="1:18" x14ac:dyDescent="0.3">
      <c r="A356" t="s">
        <v>605</v>
      </c>
      <c r="B356" s="1">
        <v>45951</v>
      </c>
      <c r="C356" t="s">
        <v>143</v>
      </c>
      <c r="D356" t="s">
        <v>117</v>
      </c>
      <c r="E356" t="s">
        <v>28</v>
      </c>
      <c r="F356" t="s">
        <v>29</v>
      </c>
      <c r="G356" t="s">
        <v>76</v>
      </c>
      <c r="H356" t="s">
        <v>43</v>
      </c>
      <c r="I356" t="s">
        <v>158</v>
      </c>
      <c r="J356">
        <v>7</v>
      </c>
      <c r="K356">
        <v>5412</v>
      </c>
      <c r="L356">
        <v>0</v>
      </c>
      <c r="M356">
        <v>37884</v>
      </c>
      <c r="N356">
        <v>24235.99</v>
      </c>
      <c r="O356">
        <v>13648.01</v>
      </c>
      <c r="P356" t="s">
        <v>24</v>
      </c>
      <c r="Q356">
        <v>5</v>
      </c>
      <c r="R356" t="b">
        <f>ISBLANK(Table1[[#This Row],[Region]])</f>
        <v>0</v>
      </c>
    </row>
    <row r="357" spans="1:18" x14ac:dyDescent="0.3">
      <c r="A357" t="s">
        <v>606</v>
      </c>
      <c r="B357" s="1">
        <v>45935</v>
      </c>
      <c r="C357" t="s">
        <v>155</v>
      </c>
      <c r="D357" t="s">
        <v>278</v>
      </c>
      <c r="E357" t="s">
        <v>28</v>
      </c>
      <c r="F357" t="s">
        <v>20</v>
      </c>
      <c r="G357" t="s">
        <v>50</v>
      </c>
      <c r="H357" t="s">
        <v>22</v>
      </c>
      <c r="I357" t="s">
        <v>23</v>
      </c>
      <c r="J357">
        <v>2</v>
      </c>
      <c r="K357">
        <v>4393</v>
      </c>
      <c r="L357">
        <v>0.1</v>
      </c>
      <c r="M357">
        <v>7907.4</v>
      </c>
      <c r="N357">
        <v>5902.48</v>
      </c>
      <c r="O357">
        <v>2004.92</v>
      </c>
      <c r="P357" t="s">
        <v>45</v>
      </c>
      <c r="Q357">
        <v>4</v>
      </c>
      <c r="R357" t="b">
        <f>ISBLANK(Table1[[#This Row],[Region]])</f>
        <v>0</v>
      </c>
    </row>
    <row r="358" spans="1:18" x14ac:dyDescent="0.3">
      <c r="A358" t="s">
        <v>607</v>
      </c>
      <c r="B358" s="1">
        <v>45679</v>
      </c>
      <c r="C358" t="s">
        <v>221</v>
      </c>
      <c r="D358" t="s">
        <v>27</v>
      </c>
      <c r="E358" t="s">
        <v>49</v>
      </c>
      <c r="F358" t="s">
        <v>20</v>
      </c>
      <c r="G358" t="s">
        <v>36</v>
      </c>
      <c r="H358" t="s">
        <v>37</v>
      </c>
      <c r="I358" t="s">
        <v>110</v>
      </c>
      <c r="J358">
        <v>4</v>
      </c>
      <c r="K358">
        <v>11975</v>
      </c>
      <c r="L358">
        <v>0</v>
      </c>
      <c r="M358">
        <v>47900</v>
      </c>
      <c r="N358">
        <v>33679.29</v>
      </c>
      <c r="O358">
        <v>14220.71</v>
      </c>
      <c r="P358" t="s">
        <v>24</v>
      </c>
      <c r="Q358">
        <v>4</v>
      </c>
      <c r="R358" t="b">
        <f>ISBLANK(Table1[[#This Row],[Region]])</f>
        <v>0</v>
      </c>
    </row>
    <row r="359" spans="1:18" x14ac:dyDescent="0.3">
      <c r="A359" t="s">
        <v>608</v>
      </c>
      <c r="B359" s="1">
        <v>45889</v>
      </c>
      <c r="C359" t="s">
        <v>249</v>
      </c>
      <c r="D359" t="s">
        <v>594</v>
      </c>
      <c r="E359" t="s">
        <v>28</v>
      </c>
      <c r="F359" t="s">
        <v>20</v>
      </c>
      <c r="G359" t="s">
        <v>109</v>
      </c>
      <c r="H359" t="s">
        <v>55</v>
      </c>
      <c r="I359" t="s">
        <v>56</v>
      </c>
      <c r="J359">
        <v>8</v>
      </c>
      <c r="K359">
        <v>8414</v>
      </c>
      <c r="L359">
        <v>0.25</v>
      </c>
      <c r="M359">
        <v>50484</v>
      </c>
      <c r="N359">
        <v>42562</v>
      </c>
      <c r="O359">
        <v>7922</v>
      </c>
      <c r="P359" t="s">
        <v>32</v>
      </c>
      <c r="Q359">
        <v>2</v>
      </c>
      <c r="R359" t="b">
        <f>ISBLANK(Table1[[#This Row],[Region]])</f>
        <v>0</v>
      </c>
    </row>
    <row r="360" spans="1:18" x14ac:dyDescent="0.3">
      <c r="A360" t="s">
        <v>609</v>
      </c>
      <c r="B360" s="1">
        <v>45933</v>
      </c>
      <c r="C360" t="s">
        <v>89</v>
      </c>
      <c r="D360" t="s">
        <v>156</v>
      </c>
      <c r="E360" t="s">
        <v>28</v>
      </c>
      <c r="F360" t="s">
        <v>20</v>
      </c>
      <c r="G360" t="s">
        <v>102</v>
      </c>
      <c r="H360" t="s">
        <v>43</v>
      </c>
      <c r="I360" t="s">
        <v>65</v>
      </c>
      <c r="J360">
        <v>6</v>
      </c>
      <c r="K360">
        <v>5772</v>
      </c>
      <c r="L360">
        <v>0.25</v>
      </c>
      <c r="M360">
        <v>25974</v>
      </c>
      <c r="N360">
        <v>15099.28</v>
      </c>
      <c r="O360">
        <v>10874.72</v>
      </c>
      <c r="P360" t="s">
        <v>45</v>
      </c>
      <c r="Q360">
        <v>5</v>
      </c>
      <c r="R360" t="b">
        <f>ISBLANK(Table1[[#This Row],[Region]])</f>
        <v>0</v>
      </c>
    </row>
    <row r="361" spans="1:18" x14ac:dyDescent="0.3">
      <c r="A361" t="s">
        <v>610</v>
      </c>
      <c r="B361" s="1">
        <v>45948</v>
      </c>
      <c r="C361" t="s">
        <v>338</v>
      </c>
      <c r="D361" t="s">
        <v>458</v>
      </c>
      <c r="E361" t="s">
        <v>49</v>
      </c>
      <c r="F361" t="s">
        <v>20</v>
      </c>
      <c r="G361" t="s">
        <v>109</v>
      </c>
      <c r="H361" t="s">
        <v>43</v>
      </c>
      <c r="I361" t="s">
        <v>65</v>
      </c>
      <c r="J361">
        <v>3</v>
      </c>
      <c r="K361">
        <v>2235</v>
      </c>
      <c r="L361">
        <v>0.2</v>
      </c>
      <c r="M361">
        <v>5364</v>
      </c>
      <c r="N361">
        <v>3513.28</v>
      </c>
      <c r="O361">
        <v>1850.72</v>
      </c>
      <c r="P361" t="s">
        <v>78</v>
      </c>
      <c r="Q361">
        <v>4</v>
      </c>
      <c r="R361" t="b">
        <f>ISBLANK(Table1[[#This Row],[Region]])</f>
        <v>0</v>
      </c>
    </row>
    <row r="362" spans="1:18" x14ac:dyDescent="0.3">
      <c r="A362" t="s">
        <v>611</v>
      </c>
      <c r="B362" s="1">
        <v>46013</v>
      </c>
      <c r="C362" t="s">
        <v>332</v>
      </c>
      <c r="D362" t="s">
        <v>454</v>
      </c>
      <c r="E362" t="s">
        <v>28</v>
      </c>
      <c r="F362" t="s">
        <v>29</v>
      </c>
      <c r="G362" t="s">
        <v>102</v>
      </c>
      <c r="H362" t="s">
        <v>37</v>
      </c>
      <c r="I362" t="s">
        <v>68</v>
      </c>
      <c r="J362">
        <v>6</v>
      </c>
      <c r="K362">
        <v>1867</v>
      </c>
      <c r="L362">
        <v>0.25</v>
      </c>
      <c r="M362">
        <v>8401.5</v>
      </c>
      <c r="N362">
        <v>7162.1</v>
      </c>
      <c r="O362">
        <v>1239.4000000000001</v>
      </c>
      <c r="P362" t="s">
        <v>32</v>
      </c>
      <c r="Q362">
        <v>3</v>
      </c>
      <c r="R362" t="b">
        <f>ISBLANK(Table1[[#This Row],[Region]])</f>
        <v>0</v>
      </c>
    </row>
    <row r="363" spans="1:18" x14ac:dyDescent="0.3">
      <c r="A363" t="s">
        <v>612</v>
      </c>
      <c r="B363" s="1">
        <v>45718</v>
      </c>
      <c r="C363" t="s">
        <v>249</v>
      </c>
      <c r="D363" t="s">
        <v>120</v>
      </c>
      <c r="E363" t="s">
        <v>19</v>
      </c>
      <c r="F363" t="s">
        <v>29</v>
      </c>
      <c r="G363" t="s">
        <v>30</v>
      </c>
      <c r="H363" t="s">
        <v>22</v>
      </c>
      <c r="I363" t="s">
        <v>23</v>
      </c>
      <c r="J363">
        <v>5</v>
      </c>
      <c r="K363">
        <v>6214</v>
      </c>
      <c r="L363">
        <v>0.1</v>
      </c>
      <c r="M363">
        <v>27963</v>
      </c>
      <c r="N363">
        <v>20740.54</v>
      </c>
      <c r="O363">
        <v>7222.46</v>
      </c>
      <c r="P363" t="s">
        <v>24</v>
      </c>
      <c r="Q363">
        <v>3</v>
      </c>
      <c r="R363" t="b">
        <f>ISBLANK(Table1[[#This Row],[Region]])</f>
        <v>0</v>
      </c>
    </row>
    <row r="364" spans="1:18" x14ac:dyDescent="0.3">
      <c r="A364" t="s">
        <v>613</v>
      </c>
      <c r="B364" s="1">
        <v>45840</v>
      </c>
      <c r="C364" t="s">
        <v>317</v>
      </c>
      <c r="D364" t="s">
        <v>614</v>
      </c>
      <c r="E364" t="s">
        <v>60</v>
      </c>
      <c r="F364" t="s">
        <v>20</v>
      </c>
      <c r="G364" t="s">
        <v>76</v>
      </c>
      <c r="H364" t="s">
        <v>22</v>
      </c>
      <c r="I364" t="s">
        <v>72</v>
      </c>
      <c r="J364">
        <v>3</v>
      </c>
      <c r="K364">
        <v>13066</v>
      </c>
      <c r="L364">
        <v>0.1</v>
      </c>
      <c r="M364">
        <v>35278.199999999997</v>
      </c>
      <c r="N364">
        <v>30219.87</v>
      </c>
      <c r="O364">
        <v>5058.33</v>
      </c>
      <c r="P364" t="s">
        <v>78</v>
      </c>
      <c r="Q364">
        <v>5</v>
      </c>
      <c r="R364" t="b">
        <f>ISBLANK(Table1[[#This Row],[Region]])</f>
        <v>0</v>
      </c>
    </row>
    <row r="365" spans="1:18" x14ac:dyDescent="0.3">
      <c r="A365" t="s">
        <v>615</v>
      </c>
      <c r="B365" s="1">
        <v>45671</v>
      </c>
      <c r="C365" t="s">
        <v>338</v>
      </c>
      <c r="D365" t="s">
        <v>261</v>
      </c>
      <c r="E365" t="s">
        <v>28</v>
      </c>
      <c r="F365" t="s">
        <v>20</v>
      </c>
      <c r="G365" t="s">
        <v>30</v>
      </c>
      <c r="H365" t="s">
        <v>55</v>
      </c>
      <c r="I365" t="s">
        <v>61</v>
      </c>
      <c r="J365">
        <v>6</v>
      </c>
      <c r="K365">
        <v>20208</v>
      </c>
      <c r="L365">
        <v>0.15</v>
      </c>
      <c r="M365">
        <v>103060.8</v>
      </c>
      <c r="N365">
        <v>88650.58</v>
      </c>
      <c r="O365">
        <v>14410.22</v>
      </c>
      <c r="P365" t="s">
        <v>78</v>
      </c>
      <c r="Q365">
        <v>2</v>
      </c>
      <c r="R365" t="b">
        <f>ISBLANK(Table1[[#This Row],[Region]])</f>
        <v>0</v>
      </c>
    </row>
    <row r="366" spans="1:18" x14ac:dyDescent="0.3">
      <c r="A366" t="s">
        <v>616</v>
      </c>
      <c r="B366" s="1">
        <v>46002</v>
      </c>
      <c r="C366" t="s">
        <v>256</v>
      </c>
      <c r="D366" t="s">
        <v>195</v>
      </c>
      <c r="E366" t="s">
        <v>28</v>
      </c>
      <c r="F366" t="s">
        <v>20</v>
      </c>
      <c r="G366" t="s">
        <v>42</v>
      </c>
      <c r="H366" t="s">
        <v>43</v>
      </c>
      <c r="I366" t="s">
        <v>77</v>
      </c>
      <c r="J366">
        <v>5</v>
      </c>
      <c r="K366">
        <v>5200</v>
      </c>
      <c r="L366">
        <v>0</v>
      </c>
      <c r="M366">
        <v>26000</v>
      </c>
      <c r="N366">
        <v>19827.72</v>
      </c>
      <c r="O366">
        <v>6172.28</v>
      </c>
      <c r="P366" t="s">
        <v>45</v>
      </c>
      <c r="Q366">
        <v>4</v>
      </c>
      <c r="R366" t="b">
        <f>ISBLANK(Table1[[#This Row],[Region]])</f>
        <v>0</v>
      </c>
    </row>
    <row r="367" spans="1:18" x14ac:dyDescent="0.3">
      <c r="A367" t="s">
        <v>617</v>
      </c>
      <c r="B367" s="1">
        <v>45750</v>
      </c>
      <c r="C367" t="s">
        <v>618</v>
      </c>
      <c r="D367" t="s">
        <v>170</v>
      </c>
      <c r="E367" t="s">
        <v>60</v>
      </c>
      <c r="F367" t="s">
        <v>29</v>
      </c>
      <c r="G367" t="s">
        <v>30</v>
      </c>
      <c r="H367" t="s">
        <v>43</v>
      </c>
      <c r="I367" t="s">
        <v>44</v>
      </c>
      <c r="J367">
        <v>4</v>
      </c>
      <c r="K367">
        <v>722</v>
      </c>
      <c r="L367">
        <v>0.05</v>
      </c>
      <c r="M367">
        <v>2743.6</v>
      </c>
      <c r="N367">
        <v>2113.56</v>
      </c>
      <c r="O367">
        <v>630.04</v>
      </c>
      <c r="P367" t="s">
        <v>45</v>
      </c>
      <c r="Q367">
        <v>1</v>
      </c>
      <c r="R367" t="b">
        <f>ISBLANK(Table1[[#This Row],[Region]])</f>
        <v>0</v>
      </c>
    </row>
    <row r="368" spans="1:18" x14ac:dyDescent="0.3">
      <c r="A368" t="s">
        <v>619</v>
      </c>
      <c r="B368" s="1">
        <v>45823</v>
      </c>
      <c r="C368" t="s">
        <v>97</v>
      </c>
      <c r="D368" t="s">
        <v>409</v>
      </c>
      <c r="E368" t="s">
        <v>19</v>
      </c>
      <c r="F368" t="s">
        <v>29</v>
      </c>
      <c r="G368" t="s">
        <v>109</v>
      </c>
      <c r="H368" t="s">
        <v>43</v>
      </c>
      <c r="I368" t="s">
        <v>77</v>
      </c>
      <c r="J368">
        <v>7</v>
      </c>
      <c r="K368">
        <v>6770</v>
      </c>
      <c r="L368">
        <v>0.25</v>
      </c>
      <c r="M368">
        <v>35542.5</v>
      </c>
      <c r="N368">
        <v>27590.97</v>
      </c>
      <c r="O368">
        <v>7951.53</v>
      </c>
      <c r="P368" t="s">
        <v>24</v>
      </c>
      <c r="Q368">
        <v>5</v>
      </c>
      <c r="R368" t="b">
        <f>ISBLANK(Table1[[#This Row],[Region]])</f>
        <v>0</v>
      </c>
    </row>
    <row r="369" spans="1:18" x14ac:dyDescent="0.3">
      <c r="A369" t="s">
        <v>620</v>
      </c>
      <c r="B369" s="1">
        <v>46021</v>
      </c>
      <c r="C369" t="s">
        <v>308</v>
      </c>
      <c r="D369" t="s">
        <v>156</v>
      </c>
      <c r="E369" t="s">
        <v>49</v>
      </c>
      <c r="F369" t="s">
        <v>29</v>
      </c>
      <c r="G369" t="s">
        <v>21</v>
      </c>
      <c r="H369" t="s">
        <v>37</v>
      </c>
      <c r="I369" t="s">
        <v>38</v>
      </c>
      <c r="J369">
        <v>6</v>
      </c>
      <c r="K369">
        <v>48479</v>
      </c>
      <c r="L369">
        <v>0.25</v>
      </c>
      <c r="M369">
        <v>218155.5</v>
      </c>
      <c r="N369">
        <v>161970.20000000001</v>
      </c>
      <c r="O369">
        <v>56185.3</v>
      </c>
      <c r="P369" t="s">
        <v>24</v>
      </c>
      <c r="Q369">
        <v>2</v>
      </c>
      <c r="R369" t="b">
        <f>ISBLANK(Table1[[#This Row],[Region]])</f>
        <v>0</v>
      </c>
    </row>
    <row r="370" spans="1:18" x14ac:dyDescent="0.3">
      <c r="A370" t="s">
        <v>621</v>
      </c>
      <c r="B370" s="1">
        <v>45664</v>
      </c>
      <c r="C370" t="s">
        <v>34</v>
      </c>
      <c r="D370" t="s">
        <v>181</v>
      </c>
      <c r="E370" t="s">
        <v>49</v>
      </c>
      <c r="F370" t="s">
        <v>20</v>
      </c>
      <c r="G370" t="s">
        <v>21</v>
      </c>
      <c r="H370" t="s">
        <v>37</v>
      </c>
      <c r="I370" t="s">
        <v>110</v>
      </c>
      <c r="J370">
        <v>4</v>
      </c>
      <c r="K370">
        <v>66168</v>
      </c>
      <c r="L370">
        <v>0.25</v>
      </c>
      <c r="M370">
        <v>198504</v>
      </c>
      <c r="N370">
        <v>152348.84</v>
      </c>
      <c r="O370">
        <v>46155.16</v>
      </c>
      <c r="P370" t="s">
        <v>45</v>
      </c>
      <c r="Q370">
        <v>3</v>
      </c>
      <c r="R370" t="b">
        <f>ISBLANK(Table1[[#This Row],[Region]])</f>
        <v>0</v>
      </c>
    </row>
    <row r="371" spans="1:18" x14ac:dyDescent="0.3">
      <c r="A371" t="s">
        <v>622</v>
      </c>
      <c r="B371" s="1">
        <v>45950</v>
      </c>
      <c r="C371" t="s">
        <v>553</v>
      </c>
      <c r="D371" t="s">
        <v>243</v>
      </c>
      <c r="E371" t="s">
        <v>60</v>
      </c>
      <c r="F371" t="s">
        <v>20</v>
      </c>
      <c r="G371" t="s">
        <v>21</v>
      </c>
      <c r="H371" t="s">
        <v>43</v>
      </c>
      <c r="I371" t="s">
        <v>44</v>
      </c>
      <c r="J371">
        <v>8</v>
      </c>
      <c r="K371">
        <v>6500</v>
      </c>
      <c r="L371">
        <v>0.1</v>
      </c>
      <c r="M371">
        <v>46800</v>
      </c>
      <c r="N371">
        <v>28837.34</v>
      </c>
      <c r="O371">
        <v>17962.66</v>
      </c>
      <c r="P371" t="s">
        <v>78</v>
      </c>
      <c r="Q371">
        <v>5</v>
      </c>
      <c r="R371" t="b">
        <f>ISBLANK(Table1[[#This Row],[Region]])</f>
        <v>0</v>
      </c>
    </row>
    <row r="372" spans="1:18" x14ac:dyDescent="0.3">
      <c r="A372" t="s">
        <v>623</v>
      </c>
      <c r="B372" s="1">
        <v>45721</v>
      </c>
      <c r="C372" t="s">
        <v>575</v>
      </c>
      <c r="D372" t="s">
        <v>199</v>
      </c>
      <c r="E372" t="s">
        <v>49</v>
      </c>
      <c r="F372" t="s">
        <v>20</v>
      </c>
      <c r="G372" t="s">
        <v>109</v>
      </c>
      <c r="H372" t="s">
        <v>55</v>
      </c>
      <c r="I372" t="s">
        <v>61</v>
      </c>
      <c r="J372">
        <v>4</v>
      </c>
      <c r="K372">
        <v>2142</v>
      </c>
      <c r="L372">
        <v>0.15</v>
      </c>
      <c r="M372">
        <v>7282.8</v>
      </c>
      <c r="N372">
        <v>5968.99</v>
      </c>
      <c r="O372">
        <v>1313.81</v>
      </c>
      <c r="P372" t="s">
        <v>78</v>
      </c>
      <c r="Q372">
        <v>2</v>
      </c>
      <c r="R372" t="b">
        <f>ISBLANK(Table1[[#This Row],[Region]])</f>
        <v>0</v>
      </c>
    </row>
    <row r="373" spans="1:18" x14ac:dyDescent="0.3">
      <c r="A373" t="s">
        <v>624</v>
      </c>
      <c r="B373" s="1">
        <v>45873</v>
      </c>
      <c r="C373" t="s">
        <v>229</v>
      </c>
      <c r="D373" t="s">
        <v>261</v>
      </c>
      <c r="E373" t="s">
        <v>49</v>
      </c>
      <c r="F373" t="s">
        <v>20</v>
      </c>
      <c r="G373" t="s">
        <v>76</v>
      </c>
      <c r="H373" t="s">
        <v>43</v>
      </c>
      <c r="I373" t="s">
        <v>44</v>
      </c>
      <c r="J373">
        <v>2</v>
      </c>
      <c r="K373">
        <v>2143</v>
      </c>
      <c r="L373">
        <v>0.15</v>
      </c>
      <c r="M373">
        <v>3643.1</v>
      </c>
      <c r="N373">
        <v>2070.09</v>
      </c>
      <c r="O373">
        <v>1573.01</v>
      </c>
      <c r="P373" t="s">
        <v>45</v>
      </c>
      <c r="Q373">
        <v>3</v>
      </c>
      <c r="R373" t="b">
        <f>ISBLANK(Table1[[#This Row],[Region]])</f>
        <v>0</v>
      </c>
    </row>
    <row r="374" spans="1:18" x14ac:dyDescent="0.3">
      <c r="A374" t="s">
        <v>625</v>
      </c>
      <c r="B374" s="1">
        <v>46017</v>
      </c>
      <c r="C374" t="s">
        <v>482</v>
      </c>
      <c r="D374" t="s">
        <v>407</v>
      </c>
      <c r="E374" t="s">
        <v>60</v>
      </c>
      <c r="F374" t="s">
        <v>20</v>
      </c>
      <c r="G374" t="s">
        <v>109</v>
      </c>
      <c r="H374" t="s">
        <v>55</v>
      </c>
      <c r="I374" t="s">
        <v>121</v>
      </c>
      <c r="J374">
        <v>8</v>
      </c>
      <c r="K374">
        <v>3304</v>
      </c>
      <c r="L374">
        <v>0.15</v>
      </c>
      <c r="M374">
        <v>22467.200000000001</v>
      </c>
      <c r="N374">
        <v>14420.83</v>
      </c>
      <c r="O374">
        <v>8046.37</v>
      </c>
      <c r="P374" t="s">
        <v>45</v>
      </c>
      <c r="Q374">
        <v>4</v>
      </c>
      <c r="R374" t="b">
        <f>ISBLANK(Table1[[#This Row],[Region]])</f>
        <v>0</v>
      </c>
    </row>
    <row r="375" spans="1:18" x14ac:dyDescent="0.3">
      <c r="A375" t="s">
        <v>626</v>
      </c>
      <c r="B375" s="1">
        <v>45758</v>
      </c>
      <c r="C375" t="s">
        <v>58</v>
      </c>
      <c r="D375" t="s">
        <v>176</v>
      </c>
      <c r="E375" t="s">
        <v>49</v>
      </c>
      <c r="F375" t="s">
        <v>20</v>
      </c>
      <c r="G375" t="s">
        <v>30</v>
      </c>
      <c r="H375" t="s">
        <v>43</v>
      </c>
      <c r="I375" t="s">
        <v>44</v>
      </c>
      <c r="J375">
        <v>1</v>
      </c>
      <c r="K375">
        <v>3088</v>
      </c>
      <c r="L375">
        <v>0.2</v>
      </c>
      <c r="M375">
        <v>2470.4</v>
      </c>
      <c r="N375">
        <v>1409.72</v>
      </c>
      <c r="O375">
        <v>1060.68</v>
      </c>
      <c r="P375" t="s">
        <v>45</v>
      </c>
      <c r="Q375">
        <v>2</v>
      </c>
      <c r="R375" t="b">
        <f>ISBLANK(Table1[[#This Row],[Region]])</f>
        <v>0</v>
      </c>
    </row>
    <row r="376" spans="1:18" x14ac:dyDescent="0.3">
      <c r="A376" t="s">
        <v>627</v>
      </c>
      <c r="B376" s="1">
        <v>45923</v>
      </c>
      <c r="C376" t="s">
        <v>308</v>
      </c>
      <c r="D376" t="s">
        <v>94</v>
      </c>
      <c r="E376" t="s">
        <v>19</v>
      </c>
      <c r="F376" t="s">
        <v>29</v>
      </c>
      <c r="G376" t="s">
        <v>21</v>
      </c>
      <c r="H376" t="s">
        <v>43</v>
      </c>
      <c r="I376" t="s">
        <v>77</v>
      </c>
      <c r="J376">
        <v>4</v>
      </c>
      <c r="K376">
        <v>5091</v>
      </c>
      <c r="L376">
        <v>0.25</v>
      </c>
      <c r="M376">
        <v>15273</v>
      </c>
      <c r="N376">
        <v>9091.39</v>
      </c>
      <c r="O376">
        <v>6181.61</v>
      </c>
      <c r="P376" t="s">
        <v>45</v>
      </c>
      <c r="Q376">
        <v>1</v>
      </c>
      <c r="R376" t="b">
        <f>ISBLANK(Table1[[#This Row],[Region]])</f>
        <v>0</v>
      </c>
    </row>
    <row r="377" spans="1:18" x14ac:dyDescent="0.3">
      <c r="A377" t="s">
        <v>628</v>
      </c>
      <c r="B377" s="1">
        <v>45883</v>
      </c>
      <c r="C377" t="s">
        <v>521</v>
      </c>
      <c r="D377" t="s">
        <v>629</v>
      </c>
      <c r="E377" t="s">
        <v>60</v>
      </c>
      <c r="F377" t="s">
        <v>20</v>
      </c>
      <c r="G377" t="s">
        <v>21</v>
      </c>
      <c r="H377" t="s">
        <v>43</v>
      </c>
      <c r="I377" t="s">
        <v>77</v>
      </c>
      <c r="J377">
        <v>7</v>
      </c>
      <c r="K377">
        <v>3407</v>
      </c>
      <c r="L377">
        <v>0.05</v>
      </c>
      <c r="M377">
        <v>22656.55</v>
      </c>
      <c r="N377">
        <v>14568.92</v>
      </c>
      <c r="O377">
        <v>8087.63</v>
      </c>
      <c r="P377" t="s">
        <v>32</v>
      </c>
      <c r="Q377">
        <v>3</v>
      </c>
      <c r="R377" t="b">
        <f>ISBLANK(Table1[[#This Row],[Region]])</f>
        <v>0</v>
      </c>
    </row>
    <row r="378" spans="1:18" x14ac:dyDescent="0.3">
      <c r="A378" t="s">
        <v>630</v>
      </c>
      <c r="B378" s="1">
        <v>45697</v>
      </c>
      <c r="C378" t="s">
        <v>227</v>
      </c>
      <c r="D378" t="s">
        <v>147</v>
      </c>
      <c r="E378" t="s">
        <v>28</v>
      </c>
      <c r="F378" t="s">
        <v>20</v>
      </c>
      <c r="G378" t="s">
        <v>30</v>
      </c>
      <c r="H378" t="s">
        <v>22</v>
      </c>
      <c r="I378" t="s">
        <v>23</v>
      </c>
      <c r="J378">
        <v>7</v>
      </c>
      <c r="K378">
        <v>3229</v>
      </c>
      <c r="L378">
        <v>0.2</v>
      </c>
      <c r="M378">
        <v>18082.400000000001</v>
      </c>
      <c r="N378">
        <v>15849.56</v>
      </c>
      <c r="O378">
        <v>2232.84</v>
      </c>
      <c r="P378" t="s">
        <v>24</v>
      </c>
      <c r="Q378">
        <v>1</v>
      </c>
      <c r="R378" t="b">
        <f>ISBLANK(Table1[[#This Row],[Region]])</f>
        <v>0</v>
      </c>
    </row>
    <row r="379" spans="1:18" x14ac:dyDescent="0.3">
      <c r="A379" t="s">
        <v>631</v>
      </c>
      <c r="B379" s="1">
        <v>45675</v>
      </c>
      <c r="C379" t="s">
        <v>146</v>
      </c>
      <c r="D379" t="s">
        <v>454</v>
      </c>
      <c r="E379" t="s">
        <v>19</v>
      </c>
      <c r="F379" t="s">
        <v>29</v>
      </c>
      <c r="G379" t="s">
        <v>102</v>
      </c>
      <c r="H379" t="s">
        <v>22</v>
      </c>
      <c r="I379" t="s">
        <v>72</v>
      </c>
      <c r="J379">
        <v>6</v>
      </c>
      <c r="K379">
        <v>12622</v>
      </c>
      <c r="L379">
        <v>0</v>
      </c>
      <c r="M379">
        <v>75732</v>
      </c>
      <c r="N379">
        <v>63140.21</v>
      </c>
      <c r="O379">
        <v>12591.79</v>
      </c>
      <c r="P379" t="s">
        <v>24</v>
      </c>
      <c r="Q379">
        <v>5</v>
      </c>
      <c r="R379" t="b">
        <f>ISBLANK(Table1[[#This Row],[Region]])</f>
        <v>0</v>
      </c>
    </row>
    <row r="380" spans="1:18" x14ac:dyDescent="0.3">
      <c r="A380" t="s">
        <v>632</v>
      </c>
      <c r="B380" s="1">
        <v>46003</v>
      </c>
      <c r="C380" t="s">
        <v>114</v>
      </c>
      <c r="D380" t="s">
        <v>243</v>
      </c>
      <c r="E380" t="s">
        <v>60</v>
      </c>
      <c r="F380" t="s">
        <v>29</v>
      </c>
      <c r="G380" t="s">
        <v>50</v>
      </c>
      <c r="H380" t="s">
        <v>37</v>
      </c>
      <c r="I380" t="s">
        <v>38</v>
      </c>
      <c r="J380">
        <v>5</v>
      </c>
      <c r="K380">
        <v>38653</v>
      </c>
      <c r="L380">
        <v>0.2</v>
      </c>
      <c r="M380">
        <v>154612</v>
      </c>
      <c r="N380">
        <v>114594.36</v>
      </c>
      <c r="O380">
        <v>40017.64</v>
      </c>
      <c r="P380" t="s">
        <v>78</v>
      </c>
      <c r="Q380">
        <v>1</v>
      </c>
      <c r="R380" t="b">
        <f>ISBLANK(Table1[[#This Row],[Region]])</f>
        <v>0</v>
      </c>
    </row>
    <row r="381" spans="1:18" x14ac:dyDescent="0.3">
      <c r="A381" t="s">
        <v>633</v>
      </c>
      <c r="B381" s="1">
        <v>45788</v>
      </c>
      <c r="C381" t="s">
        <v>133</v>
      </c>
      <c r="D381" t="s">
        <v>634</v>
      </c>
      <c r="E381" t="s">
        <v>60</v>
      </c>
      <c r="F381" t="s">
        <v>29</v>
      </c>
      <c r="G381" t="s">
        <v>76</v>
      </c>
      <c r="H381" t="s">
        <v>22</v>
      </c>
      <c r="I381" t="s">
        <v>31</v>
      </c>
      <c r="J381">
        <v>6</v>
      </c>
      <c r="K381">
        <v>2235</v>
      </c>
      <c r="L381">
        <v>0.15</v>
      </c>
      <c r="M381">
        <v>11398.5</v>
      </c>
      <c r="N381">
        <v>6890.96</v>
      </c>
      <c r="O381">
        <v>4507.54</v>
      </c>
      <c r="P381" t="s">
        <v>32</v>
      </c>
      <c r="Q381">
        <v>1</v>
      </c>
      <c r="R381" t="b">
        <f>ISBLANK(Table1[[#This Row],[Region]])</f>
        <v>0</v>
      </c>
    </row>
    <row r="382" spans="1:18" x14ac:dyDescent="0.3">
      <c r="A382" t="s">
        <v>635</v>
      </c>
      <c r="B382" s="1">
        <v>45972</v>
      </c>
      <c r="C382" t="s">
        <v>224</v>
      </c>
      <c r="D382" t="s">
        <v>209</v>
      </c>
      <c r="E382" t="s">
        <v>49</v>
      </c>
      <c r="F382" t="s">
        <v>20</v>
      </c>
      <c r="G382" t="s">
        <v>109</v>
      </c>
      <c r="H382" t="s">
        <v>55</v>
      </c>
      <c r="I382" t="s">
        <v>61</v>
      </c>
      <c r="J382">
        <v>3</v>
      </c>
      <c r="K382">
        <v>23503</v>
      </c>
      <c r="L382">
        <v>0.1</v>
      </c>
      <c r="M382">
        <v>63458.1</v>
      </c>
      <c r="N382">
        <v>41969.19</v>
      </c>
      <c r="O382">
        <v>21488.91</v>
      </c>
      <c r="P382" t="s">
        <v>45</v>
      </c>
      <c r="Q382">
        <v>1</v>
      </c>
      <c r="R382" t="b">
        <f>ISBLANK(Table1[[#This Row],[Region]])</f>
        <v>0</v>
      </c>
    </row>
    <row r="383" spans="1:18" x14ac:dyDescent="0.3">
      <c r="A383" t="s">
        <v>636</v>
      </c>
      <c r="B383" s="1">
        <v>45670</v>
      </c>
      <c r="C383" t="s">
        <v>601</v>
      </c>
      <c r="D383" t="s">
        <v>81</v>
      </c>
      <c r="E383" t="s">
        <v>19</v>
      </c>
      <c r="F383" t="s">
        <v>20</v>
      </c>
      <c r="G383" t="s">
        <v>50</v>
      </c>
      <c r="H383" t="s">
        <v>37</v>
      </c>
      <c r="I383" t="s">
        <v>68</v>
      </c>
      <c r="J383">
        <v>6</v>
      </c>
      <c r="K383">
        <v>39389</v>
      </c>
      <c r="L383">
        <v>0.15</v>
      </c>
      <c r="M383">
        <v>200883.9</v>
      </c>
      <c r="N383">
        <v>127037.12</v>
      </c>
      <c r="O383">
        <v>73846.78</v>
      </c>
      <c r="P383" t="s">
        <v>45</v>
      </c>
      <c r="Q383">
        <v>5</v>
      </c>
      <c r="R383" t="b">
        <f>ISBLANK(Table1[[#This Row],[Region]])</f>
        <v>0</v>
      </c>
    </row>
    <row r="384" spans="1:18" x14ac:dyDescent="0.3">
      <c r="A384" t="s">
        <v>637</v>
      </c>
      <c r="B384" s="1">
        <v>45715</v>
      </c>
      <c r="C384" t="s">
        <v>245</v>
      </c>
      <c r="D384" t="s">
        <v>178</v>
      </c>
      <c r="E384" t="s">
        <v>60</v>
      </c>
      <c r="F384" t="s">
        <v>20</v>
      </c>
      <c r="G384" t="s">
        <v>109</v>
      </c>
      <c r="H384" t="s">
        <v>55</v>
      </c>
      <c r="I384" t="s">
        <v>61</v>
      </c>
      <c r="J384">
        <v>1</v>
      </c>
      <c r="K384">
        <v>14081</v>
      </c>
      <c r="L384">
        <v>0.2</v>
      </c>
      <c r="M384">
        <v>11264.8</v>
      </c>
      <c r="N384">
        <v>6544.24</v>
      </c>
      <c r="O384">
        <v>4720.5600000000004</v>
      </c>
      <c r="P384" t="s">
        <v>45</v>
      </c>
      <c r="Q384">
        <v>3</v>
      </c>
      <c r="R384" t="b">
        <f>ISBLANK(Table1[[#This Row],[Region]])</f>
        <v>0</v>
      </c>
    </row>
    <row r="385" spans="1:18" x14ac:dyDescent="0.3">
      <c r="A385" t="s">
        <v>638</v>
      </c>
      <c r="B385" s="1">
        <v>45846</v>
      </c>
      <c r="C385" t="s">
        <v>146</v>
      </c>
      <c r="D385" t="s">
        <v>129</v>
      </c>
      <c r="E385" t="s">
        <v>49</v>
      </c>
      <c r="F385" t="s">
        <v>29</v>
      </c>
      <c r="G385" t="s">
        <v>36</v>
      </c>
      <c r="H385" t="s">
        <v>43</v>
      </c>
      <c r="I385" t="s">
        <v>77</v>
      </c>
      <c r="J385">
        <v>5</v>
      </c>
      <c r="K385">
        <v>3957</v>
      </c>
      <c r="L385">
        <v>0</v>
      </c>
      <c r="M385">
        <v>19785</v>
      </c>
      <c r="N385">
        <v>15925.55</v>
      </c>
      <c r="O385">
        <v>3859.45</v>
      </c>
      <c r="P385" t="s">
        <v>24</v>
      </c>
      <c r="Q385">
        <v>5</v>
      </c>
      <c r="R385" t="b">
        <f>ISBLANK(Table1[[#This Row],[Region]])</f>
        <v>0</v>
      </c>
    </row>
    <row r="386" spans="1:18" x14ac:dyDescent="0.3">
      <c r="A386" t="s">
        <v>639</v>
      </c>
      <c r="B386" s="1">
        <v>45751</v>
      </c>
      <c r="C386" t="s">
        <v>348</v>
      </c>
      <c r="D386" t="s">
        <v>454</v>
      </c>
      <c r="E386" t="s">
        <v>28</v>
      </c>
      <c r="F386" t="s">
        <v>29</v>
      </c>
      <c r="G386" t="s">
        <v>102</v>
      </c>
      <c r="H386" t="s">
        <v>55</v>
      </c>
      <c r="I386" t="s">
        <v>121</v>
      </c>
      <c r="J386">
        <v>6</v>
      </c>
      <c r="K386">
        <v>20775</v>
      </c>
      <c r="L386">
        <v>0.2</v>
      </c>
      <c r="M386">
        <v>99720</v>
      </c>
      <c r="N386">
        <v>77038.87</v>
      </c>
      <c r="O386">
        <v>22681.13</v>
      </c>
      <c r="P386" t="s">
        <v>45</v>
      </c>
      <c r="Q386">
        <v>1</v>
      </c>
      <c r="R386" t="b">
        <f>ISBLANK(Table1[[#This Row],[Region]])</f>
        <v>0</v>
      </c>
    </row>
    <row r="387" spans="1:18" x14ac:dyDescent="0.3">
      <c r="A387" t="s">
        <v>640</v>
      </c>
      <c r="B387" s="1">
        <v>45970</v>
      </c>
      <c r="C387" t="s">
        <v>74</v>
      </c>
      <c r="D387" t="s">
        <v>473</v>
      </c>
      <c r="E387" t="s">
        <v>28</v>
      </c>
      <c r="F387" t="s">
        <v>20</v>
      </c>
      <c r="G387" t="s">
        <v>42</v>
      </c>
      <c r="H387" t="s">
        <v>55</v>
      </c>
      <c r="I387" t="s">
        <v>61</v>
      </c>
      <c r="J387">
        <v>7</v>
      </c>
      <c r="K387">
        <v>3523</v>
      </c>
      <c r="L387">
        <v>0.15</v>
      </c>
      <c r="M387">
        <v>20961.849999999999</v>
      </c>
      <c r="N387">
        <v>13455.31</v>
      </c>
      <c r="O387">
        <v>7506.54</v>
      </c>
      <c r="P387" t="s">
        <v>45</v>
      </c>
      <c r="Q387">
        <v>3</v>
      </c>
      <c r="R387" t="b">
        <f>ISBLANK(Table1[[#This Row],[Region]])</f>
        <v>0</v>
      </c>
    </row>
    <row r="388" spans="1:18" x14ac:dyDescent="0.3">
      <c r="A388" t="s">
        <v>641</v>
      </c>
      <c r="B388" s="1">
        <v>45729</v>
      </c>
      <c r="C388" t="s">
        <v>128</v>
      </c>
      <c r="D388" t="s">
        <v>84</v>
      </c>
      <c r="E388" t="s">
        <v>19</v>
      </c>
      <c r="F388" t="s">
        <v>20</v>
      </c>
      <c r="G388" t="s">
        <v>102</v>
      </c>
      <c r="H388" t="s">
        <v>55</v>
      </c>
      <c r="I388" t="s">
        <v>61</v>
      </c>
      <c r="J388">
        <v>1</v>
      </c>
      <c r="K388">
        <v>8732</v>
      </c>
      <c r="L388">
        <v>0.15</v>
      </c>
      <c r="M388">
        <v>7422.2</v>
      </c>
      <c r="N388">
        <v>5856.99</v>
      </c>
      <c r="O388">
        <v>1565.21</v>
      </c>
      <c r="P388" t="s">
        <v>45</v>
      </c>
      <c r="Q388">
        <v>2</v>
      </c>
      <c r="R388" t="b">
        <f>ISBLANK(Table1[[#This Row],[Region]])</f>
        <v>0</v>
      </c>
    </row>
    <row r="389" spans="1:18" x14ac:dyDescent="0.3">
      <c r="A389" t="s">
        <v>642</v>
      </c>
      <c r="B389" s="1">
        <v>45878</v>
      </c>
      <c r="C389" t="s">
        <v>289</v>
      </c>
      <c r="D389" t="s">
        <v>267</v>
      </c>
      <c r="E389" t="s">
        <v>49</v>
      </c>
      <c r="F389" t="s">
        <v>20</v>
      </c>
      <c r="G389" t="s">
        <v>21</v>
      </c>
      <c r="H389" t="s">
        <v>43</v>
      </c>
      <c r="I389" t="s">
        <v>77</v>
      </c>
      <c r="J389">
        <v>7</v>
      </c>
      <c r="K389">
        <v>1354</v>
      </c>
      <c r="L389">
        <v>0</v>
      </c>
      <c r="M389">
        <v>9478</v>
      </c>
      <c r="N389">
        <v>5872.17</v>
      </c>
      <c r="O389">
        <v>3605.83</v>
      </c>
      <c r="P389" t="s">
        <v>32</v>
      </c>
      <c r="Q389">
        <v>2</v>
      </c>
      <c r="R389" t="b">
        <f>ISBLANK(Table1[[#This Row],[Region]])</f>
        <v>0</v>
      </c>
    </row>
    <row r="390" spans="1:18" x14ac:dyDescent="0.3">
      <c r="A390" t="s">
        <v>643</v>
      </c>
      <c r="B390" s="1">
        <v>45796</v>
      </c>
      <c r="C390" t="s">
        <v>63</v>
      </c>
      <c r="D390" t="s">
        <v>373</v>
      </c>
      <c r="E390" t="s">
        <v>49</v>
      </c>
      <c r="F390" t="s">
        <v>20</v>
      </c>
      <c r="G390" t="s">
        <v>30</v>
      </c>
      <c r="H390" t="s">
        <v>37</v>
      </c>
      <c r="I390" t="s">
        <v>38</v>
      </c>
      <c r="J390">
        <v>8</v>
      </c>
      <c r="K390">
        <v>32789</v>
      </c>
      <c r="L390">
        <v>0</v>
      </c>
      <c r="M390">
        <v>262312</v>
      </c>
      <c r="N390">
        <v>168751.7</v>
      </c>
      <c r="O390">
        <v>93560.3</v>
      </c>
      <c r="P390" t="s">
        <v>78</v>
      </c>
      <c r="Q390">
        <v>3</v>
      </c>
      <c r="R390" t="b">
        <f>ISBLANK(Table1[[#This Row],[Region]])</f>
        <v>0</v>
      </c>
    </row>
    <row r="391" spans="1:18" x14ac:dyDescent="0.3">
      <c r="A391" t="s">
        <v>644</v>
      </c>
      <c r="B391" s="1">
        <v>45695</v>
      </c>
      <c r="C391" t="s">
        <v>123</v>
      </c>
      <c r="D391" t="s">
        <v>395</v>
      </c>
      <c r="E391" t="s">
        <v>19</v>
      </c>
      <c r="F391" t="s">
        <v>29</v>
      </c>
      <c r="G391" t="s">
        <v>42</v>
      </c>
      <c r="H391" t="s">
        <v>22</v>
      </c>
      <c r="I391" t="s">
        <v>31</v>
      </c>
      <c r="J391">
        <v>1</v>
      </c>
      <c r="K391">
        <v>9905</v>
      </c>
      <c r="L391">
        <v>0.25</v>
      </c>
      <c r="M391">
        <v>7428.75</v>
      </c>
      <c r="N391">
        <v>4810.6099999999997</v>
      </c>
      <c r="O391">
        <v>2618.14</v>
      </c>
      <c r="P391" t="s">
        <v>78</v>
      </c>
      <c r="Q391">
        <v>4</v>
      </c>
      <c r="R391" t="b">
        <f>ISBLANK(Table1[[#This Row],[Region]])</f>
        <v>0</v>
      </c>
    </row>
    <row r="392" spans="1:18" x14ac:dyDescent="0.3">
      <c r="A392" t="s">
        <v>645</v>
      </c>
      <c r="B392" s="1">
        <v>45845</v>
      </c>
      <c r="C392" t="s">
        <v>17</v>
      </c>
      <c r="D392" t="s">
        <v>273</v>
      </c>
      <c r="E392" t="s">
        <v>49</v>
      </c>
      <c r="F392" t="s">
        <v>20</v>
      </c>
      <c r="G392" t="s">
        <v>109</v>
      </c>
      <c r="H392" t="s">
        <v>37</v>
      </c>
      <c r="I392" t="s">
        <v>110</v>
      </c>
      <c r="J392">
        <v>2</v>
      </c>
      <c r="K392">
        <v>53931</v>
      </c>
      <c r="L392">
        <v>0.6</v>
      </c>
      <c r="M392">
        <v>107862</v>
      </c>
      <c r="N392">
        <v>71671.320000000007</v>
      </c>
      <c r="O392">
        <v>36190.68</v>
      </c>
      <c r="P392" t="s">
        <v>45</v>
      </c>
      <c r="Q392">
        <v>3</v>
      </c>
      <c r="R392" t="b">
        <f>ISBLANK(Table1[[#This Row],[Region]])</f>
        <v>0</v>
      </c>
    </row>
    <row r="393" spans="1:18" x14ac:dyDescent="0.3">
      <c r="A393" t="s">
        <v>646</v>
      </c>
      <c r="B393" s="1">
        <v>45865</v>
      </c>
      <c r="C393" t="s">
        <v>345</v>
      </c>
      <c r="D393" t="s">
        <v>117</v>
      </c>
      <c r="E393" t="s">
        <v>28</v>
      </c>
      <c r="F393" t="s">
        <v>20</v>
      </c>
      <c r="G393" t="s">
        <v>42</v>
      </c>
      <c r="H393" t="s">
        <v>37</v>
      </c>
      <c r="I393" t="s">
        <v>51</v>
      </c>
      <c r="J393">
        <v>30</v>
      </c>
      <c r="K393">
        <v>74384</v>
      </c>
      <c r="L393">
        <v>0</v>
      </c>
      <c r="M393">
        <v>148768</v>
      </c>
      <c r="N393">
        <v>127748.55</v>
      </c>
      <c r="O393">
        <v>21019.45</v>
      </c>
      <c r="P393" t="s">
        <v>78</v>
      </c>
      <c r="Q393">
        <v>4</v>
      </c>
      <c r="R393" t="b">
        <f>ISBLANK(Table1[[#This Row],[Region]])</f>
        <v>0</v>
      </c>
    </row>
    <row r="394" spans="1:18" x14ac:dyDescent="0.3">
      <c r="A394" t="s">
        <v>647</v>
      </c>
      <c r="B394" s="1">
        <v>45775</v>
      </c>
      <c r="C394" t="s">
        <v>40</v>
      </c>
      <c r="D394" t="s">
        <v>369</v>
      </c>
      <c r="E394" t="s">
        <v>19</v>
      </c>
      <c r="F394" t="s">
        <v>29</v>
      </c>
      <c r="G394" t="s">
        <v>21</v>
      </c>
      <c r="H394" t="s">
        <v>22</v>
      </c>
      <c r="I394" t="s">
        <v>31</v>
      </c>
      <c r="J394">
        <v>6</v>
      </c>
      <c r="K394">
        <v>6897</v>
      </c>
      <c r="L394">
        <v>0.05</v>
      </c>
      <c r="M394">
        <v>39312.9</v>
      </c>
      <c r="N394">
        <v>24079.14</v>
      </c>
      <c r="O394">
        <v>15233.76</v>
      </c>
      <c r="P394" t="s">
        <v>32</v>
      </c>
      <c r="Q394">
        <v>3</v>
      </c>
      <c r="R394" t="b">
        <f>ISBLANK(Table1[[#This Row],[Region]])</f>
        <v>0</v>
      </c>
    </row>
    <row r="395" spans="1:18" x14ac:dyDescent="0.3">
      <c r="A395" t="s">
        <v>648</v>
      </c>
      <c r="B395" s="1">
        <v>45762</v>
      </c>
      <c r="C395" t="s">
        <v>313</v>
      </c>
      <c r="D395" t="s">
        <v>367</v>
      </c>
      <c r="E395" t="s">
        <v>19</v>
      </c>
      <c r="F395" t="s">
        <v>20</v>
      </c>
      <c r="G395" t="s">
        <v>30</v>
      </c>
      <c r="H395" t="s">
        <v>22</v>
      </c>
      <c r="I395" t="s">
        <v>23</v>
      </c>
      <c r="J395">
        <v>3</v>
      </c>
      <c r="K395">
        <v>11429</v>
      </c>
      <c r="L395">
        <v>0</v>
      </c>
      <c r="M395">
        <v>34287</v>
      </c>
      <c r="N395">
        <v>18935.669999999998</v>
      </c>
      <c r="O395">
        <v>15351.33</v>
      </c>
      <c r="P395" t="s">
        <v>78</v>
      </c>
      <c r="Q395">
        <v>2</v>
      </c>
      <c r="R395" t="b">
        <f>ISBLANK(Table1[[#This Row],[Region]])</f>
        <v>0</v>
      </c>
    </row>
    <row r="396" spans="1:18" x14ac:dyDescent="0.3">
      <c r="A396" t="s">
        <v>649</v>
      </c>
      <c r="B396" s="1">
        <v>45723</v>
      </c>
      <c r="C396" t="s">
        <v>116</v>
      </c>
      <c r="D396" t="s">
        <v>108</v>
      </c>
      <c r="E396" t="s">
        <v>28</v>
      </c>
      <c r="F396" t="s">
        <v>20</v>
      </c>
      <c r="G396" t="s">
        <v>42</v>
      </c>
      <c r="H396" t="s">
        <v>22</v>
      </c>
      <c r="I396" t="s">
        <v>31</v>
      </c>
      <c r="J396">
        <v>4</v>
      </c>
      <c r="K396">
        <v>4914</v>
      </c>
      <c r="L396">
        <v>0</v>
      </c>
      <c r="M396">
        <v>19656</v>
      </c>
      <c r="N396">
        <v>13665.23</v>
      </c>
      <c r="O396">
        <v>5990.77</v>
      </c>
      <c r="P396" t="s">
        <v>45</v>
      </c>
      <c r="Q396">
        <v>1</v>
      </c>
      <c r="R396" t="b">
        <f>ISBLANK(Table1[[#This Row],[Region]])</f>
        <v>0</v>
      </c>
    </row>
    <row r="397" spans="1:18" x14ac:dyDescent="0.3">
      <c r="A397" t="s">
        <v>650</v>
      </c>
      <c r="B397" s="1">
        <v>45800</v>
      </c>
      <c r="C397" t="s">
        <v>74</v>
      </c>
      <c r="D397" t="s">
        <v>306</v>
      </c>
      <c r="E397" t="s">
        <v>28</v>
      </c>
      <c r="F397" t="s">
        <v>20</v>
      </c>
      <c r="G397" t="s">
        <v>76</v>
      </c>
      <c r="H397" t="s">
        <v>55</v>
      </c>
      <c r="I397" t="s">
        <v>121</v>
      </c>
      <c r="J397">
        <v>6</v>
      </c>
      <c r="K397">
        <v>12403</v>
      </c>
      <c r="L397">
        <v>0.15</v>
      </c>
      <c r="M397">
        <v>63255.3</v>
      </c>
      <c r="N397">
        <v>40801.06</v>
      </c>
      <c r="O397">
        <v>22454.240000000002</v>
      </c>
      <c r="P397" t="s">
        <v>45</v>
      </c>
      <c r="Q397">
        <v>1</v>
      </c>
      <c r="R397" t="b">
        <f>ISBLANK(Table1[[#This Row],[Region]])</f>
        <v>0</v>
      </c>
    </row>
    <row r="398" spans="1:18" x14ac:dyDescent="0.3">
      <c r="A398" t="s">
        <v>651</v>
      </c>
      <c r="B398" s="1">
        <v>45748</v>
      </c>
      <c r="C398" t="s">
        <v>125</v>
      </c>
      <c r="D398" t="s">
        <v>27</v>
      </c>
      <c r="E398" t="s">
        <v>49</v>
      </c>
      <c r="F398" t="s">
        <v>20</v>
      </c>
      <c r="G398" t="s">
        <v>109</v>
      </c>
      <c r="H398" t="s">
        <v>37</v>
      </c>
      <c r="I398" t="s">
        <v>51</v>
      </c>
      <c r="J398">
        <v>1</v>
      </c>
      <c r="K398">
        <v>4157</v>
      </c>
      <c r="L398">
        <v>0.15</v>
      </c>
      <c r="M398">
        <v>3533.45</v>
      </c>
      <c r="N398">
        <v>2798.1</v>
      </c>
      <c r="O398">
        <v>735.35</v>
      </c>
      <c r="P398" t="s">
        <v>45</v>
      </c>
      <c r="Q398">
        <v>3</v>
      </c>
      <c r="R398" t="b">
        <f>ISBLANK(Table1[[#This Row],[Region]])</f>
        <v>0</v>
      </c>
    </row>
    <row r="399" spans="1:18" x14ac:dyDescent="0.3">
      <c r="A399" t="s">
        <v>652</v>
      </c>
      <c r="B399" s="1">
        <v>45662</v>
      </c>
      <c r="C399" t="s">
        <v>313</v>
      </c>
      <c r="D399" t="s">
        <v>454</v>
      </c>
      <c r="E399" t="s">
        <v>28</v>
      </c>
      <c r="F399" t="s">
        <v>29</v>
      </c>
      <c r="G399" t="s">
        <v>102</v>
      </c>
      <c r="H399" t="s">
        <v>55</v>
      </c>
      <c r="I399" t="s">
        <v>56</v>
      </c>
      <c r="J399">
        <v>1</v>
      </c>
      <c r="K399">
        <v>23595</v>
      </c>
      <c r="L399">
        <v>0.1</v>
      </c>
      <c r="M399">
        <v>21235.5</v>
      </c>
      <c r="N399">
        <v>17292.57</v>
      </c>
      <c r="O399">
        <v>3942.93</v>
      </c>
      <c r="P399" t="s">
        <v>24</v>
      </c>
      <c r="Q399">
        <v>5</v>
      </c>
      <c r="R399" t="b">
        <f>ISBLANK(Table1[[#This Row],[Region]])</f>
        <v>0</v>
      </c>
    </row>
    <row r="400" spans="1:18" x14ac:dyDescent="0.3">
      <c r="A400" t="s">
        <v>653</v>
      </c>
      <c r="B400" s="1">
        <v>45924</v>
      </c>
      <c r="C400" t="s">
        <v>189</v>
      </c>
      <c r="D400" t="s">
        <v>144</v>
      </c>
      <c r="E400" t="s">
        <v>60</v>
      </c>
      <c r="F400" t="s">
        <v>29</v>
      </c>
      <c r="G400" t="s">
        <v>76</v>
      </c>
      <c r="H400" t="s">
        <v>37</v>
      </c>
      <c r="I400" t="s">
        <v>68</v>
      </c>
      <c r="J400">
        <v>8</v>
      </c>
      <c r="K400">
        <v>58936</v>
      </c>
      <c r="L400">
        <v>0.15</v>
      </c>
      <c r="M400">
        <v>400764.8</v>
      </c>
      <c r="N400">
        <v>302012.96000000002</v>
      </c>
      <c r="O400">
        <v>98751.84</v>
      </c>
      <c r="P400" t="s">
        <v>78</v>
      </c>
      <c r="Q400">
        <v>5</v>
      </c>
      <c r="R400" t="b">
        <f>ISBLANK(Table1[[#This Row],[Region]])</f>
        <v>0</v>
      </c>
    </row>
    <row r="401" spans="1:18" x14ac:dyDescent="0.3">
      <c r="A401" t="s">
        <v>654</v>
      </c>
      <c r="B401" s="1">
        <v>45819</v>
      </c>
      <c r="C401" t="s">
        <v>224</v>
      </c>
      <c r="D401" t="s">
        <v>150</v>
      </c>
      <c r="E401" t="s">
        <v>60</v>
      </c>
      <c r="F401" t="s">
        <v>29</v>
      </c>
      <c r="G401" t="s">
        <v>42</v>
      </c>
      <c r="H401" t="s">
        <v>55</v>
      </c>
      <c r="I401" t="s">
        <v>61</v>
      </c>
      <c r="J401">
        <v>2</v>
      </c>
      <c r="K401">
        <v>19942</v>
      </c>
      <c r="L401">
        <v>0.05</v>
      </c>
      <c r="M401">
        <v>37889.800000000003</v>
      </c>
      <c r="N401">
        <v>26231.38</v>
      </c>
      <c r="O401">
        <v>11658.42</v>
      </c>
      <c r="P401" t="s">
        <v>78</v>
      </c>
      <c r="Q401">
        <v>5</v>
      </c>
      <c r="R401" t="b">
        <f>ISBLANK(Table1[[#This Row],[Region]])</f>
        <v>0</v>
      </c>
    </row>
  </sheetData>
  <conditionalFormatting sqref="A1:A401">
    <cfRule type="duplicateValues" dxfId="0" priority="2"/>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KPI_report</vt:lpstr>
      <vt:lpstr>Dashboard</vt:lpstr>
      <vt:lpstr>Category bar</vt:lpstr>
      <vt:lpstr>Product</vt:lpstr>
      <vt:lpstr>Region</vt:lpstr>
      <vt:lpstr>Salesperson</vt:lpstr>
      <vt:lpstr>Month</vt:lpstr>
      <vt:lpstr>Customer</vt:lpstr>
      <vt:lpstr>Sheet1</vt:lpstr>
      <vt:lpstr>channel </vt:lpstr>
      <vt:lpstr>insight</vt:lpstr>
      <vt:lpstr>data</vt:lpstr>
      <vt:lpstr>bar</vt:lpstr>
      <vt:lpstr>chan</vt:lpstr>
      <vt:lpstr>com</vt:lpstr>
      <vt:lpstr>cust</vt:lpstr>
      <vt:lpstr>lin</vt:lpstr>
      <vt:lpstr>reg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Mdhanzala Shaikh</cp:lastModifiedBy>
  <dcterms:created xsi:type="dcterms:W3CDTF">2026-08-17T06:19:54Z</dcterms:created>
  <dcterms:modified xsi:type="dcterms:W3CDTF">2026-09-30T06:48:12Z</dcterms:modified>
</cp:coreProperties>
</file>